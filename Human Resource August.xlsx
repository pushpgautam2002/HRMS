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 - Homemonde Lifestyle Pvt. ltd\Documents\Data Analytics - Documents\HRMS\"/>
    </mc:Choice>
  </mc:AlternateContent>
  <xr:revisionPtr revIDLastSave="0" documentId="13_ncr:1_{07F4AFA7-16CA-4915-A890-EE564CAF84FC}" xr6:coauthVersionLast="47" xr6:coauthVersionMax="47" xr10:uidLastSave="{00000000-0000-0000-0000-000000000000}"/>
  <bookViews>
    <workbookView xWindow="-108" yWindow="-108" windowWidth="23256" windowHeight="12456" firstSheet="2" activeTab="7" xr2:uid="{99FD86DC-0B98-4C64-A754-91DD592CEE19}"/>
  </bookViews>
  <sheets>
    <sheet name="January 2025" sheetId="1" r:id="rId1"/>
    <sheet name="February 2025" sheetId="2" r:id="rId2"/>
    <sheet name="March 2025" sheetId="3" r:id="rId3"/>
    <sheet name="April 2025" sheetId="4" r:id="rId4"/>
    <sheet name="May 2025" sheetId="6" r:id="rId5"/>
    <sheet name="June 2025" sheetId="7" r:id="rId6"/>
    <sheet name="July 2025" sheetId="8" r:id="rId7"/>
    <sheet name="August 2025" sheetId="12" r:id="rId8"/>
    <sheet name="Contractor" sheetId="9" r:id="rId9"/>
    <sheet name="Data Validation" sheetId="11" r:id="rId10"/>
  </sheets>
  <externalReferences>
    <externalReference r:id="rId11"/>
  </externalReferences>
  <definedNames>
    <definedName name="_xlnm._FilterDatabase" localSheetId="3" hidden="1">'April 2025'!$A$1:$K$321</definedName>
    <definedName name="_xlnm._FilterDatabase" localSheetId="7" hidden="1">'August 2025'!$A$1:$K$298</definedName>
    <definedName name="_xlnm._FilterDatabase" localSheetId="8" hidden="1">Contractor!$A$1:$G$27</definedName>
    <definedName name="_xlnm._FilterDatabase" localSheetId="9" hidden="1">'Data Validation'!$K$1:$K$11</definedName>
    <definedName name="_xlnm._FilterDatabase" localSheetId="1" hidden="1">'February 2025'!$A$1:$K$148</definedName>
    <definedName name="_xlnm._FilterDatabase" localSheetId="0" hidden="1">'January 2025'!$A$198:$M$198</definedName>
    <definedName name="_xlnm._FilterDatabase" localSheetId="6" hidden="1">'July 2025'!$A$1:$K$274</definedName>
    <definedName name="_xlnm._FilterDatabase" localSheetId="5" hidden="1">'June 2025'!$A$2:$K$250</definedName>
    <definedName name="_xlnm._FilterDatabase" localSheetId="2" hidden="1">'March 2025'!$A$1:$K$305</definedName>
    <definedName name="_xlnm._FilterDatabase" localSheetId="4" hidden="1">'May 2025'!$A$1:$K$207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2" l="1"/>
  <c r="K5" i="12"/>
  <c r="K6" i="12"/>
  <c r="K7" i="12"/>
  <c r="K8" i="12"/>
  <c r="K9" i="12"/>
  <c r="K10" i="12"/>
  <c r="K11" i="12"/>
  <c r="K13" i="12"/>
  <c r="K14" i="12"/>
  <c r="K15" i="12"/>
  <c r="K16" i="12"/>
  <c r="K17" i="12"/>
  <c r="K18" i="12"/>
  <c r="K19" i="12"/>
  <c r="K21" i="12"/>
  <c r="K22" i="12"/>
  <c r="K23" i="12"/>
  <c r="K24" i="12"/>
  <c r="K25" i="12"/>
  <c r="K26" i="12"/>
  <c r="K27" i="12"/>
  <c r="K28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4" i="12"/>
  <c r="K45" i="12"/>
  <c r="K46" i="12"/>
  <c r="K47" i="12"/>
  <c r="K48" i="12"/>
  <c r="K54" i="12"/>
  <c r="K55" i="12"/>
  <c r="K56" i="12"/>
  <c r="K58" i="12"/>
  <c r="K59" i="12"/>
  <c r="K60" i="12"/>
  <c r="K61" i="12"/>
  <c r="K62" i="12"/>
  <c r="K63" i="12"/>
  <c r="K65" i="12"/>
  <c r="K67" i="12"/>
  <c r="K69" i="12"/>
  <c r="K72" i="12"/>
  <c r="K73" i="12"/>
  <c r="K75" i="12"/>
  <c r="K78" i="12"/>
  <c r="K79" i="12"/>
  <c r="K80" i="12"/>
  <c r="K82" i="12"/>
  <c r="K84" i="12"/>
  <c r="K85" i="12"/>
  <c r="K87" i="12"/>
  <c r="K88" i="12"/>
  <c r="K89" i="12"/>
  <c r="K91" i="12"/>
  <c r="K92" i="12"/>
  <c r="K93" i="12"/>
  <c r="K94" i="12"/>
  <c r="K96" i="12"/>
  <c r="K97" i="12"/>
  <c r="K98" i="12"/>
  <c r="K99" i="12"/>
  <c r="K100" i="12"/>
  <c r="K101" i="12"/>
  <c r="K102" i="12"/>
  <c r="K103" i="12"/>
  <c r="K105" i="12"/>
  <c r="K106" i="12"/>
  <c r="K108" i="12"/>
  <c r="K109" i="12"/>
  <c r="K139" i="12"/>
  <c r="K140" i="12"/>
  <c r="K143" i="12"/>
  <c r="K144" i="12"/>
  <c r="K147" i="12"/>
  <c r="K148" i="12"/>
  <c r="K150" i="12"/>
  <c r="K152" i="12"/>
  <c r="K153" i="12"/>
  <c r="K154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74" i="12"/>
  <c r="K176" i="12"/>
  <c r="K177" i="12"/>
  <c r="K181" i="12"/>
  <c r="K183" i="12"/>
  <c r="K184" i="12"/>
  <c r="K185" i="12"/>
  <c r="K186" i="12"/>
  <c r="K187" i="12"/>
  <c r="K188" i="12"/>
  <c r="K189" i="12"/>
  <c r="K190" i="12"/>
  <c r="K191" i="12"/>
  <c r="K192" i="12"/>
  <c r="K193" i="12"/>
  <c r="K194" i="12"/>
  <c r="K195" i="12"/>
  <c r="K197" i="12"/>
  <c r="K198" i="12"/>
  <c r="K200" i="12"/>
  <c r="K201" i="12"/>
  <c r="K202" i="12"/>
  <c r="K205" i="12"/>
  <c r="K206" i="12"/>
  <c r="K211" i="12"/>
  <c r="K213" i="12"/>
  <c r="K215" i="12"/>
  <c r="K216" i="12"/>
  <c r="K217" i="12"/>
  <c r="K218" i="12"/>
  <c r="K219" i="12"/>
  <c r="K224" i="12"/>
  <c r="K225" i="12"/>
  <c r="K226" i="12"/>
  <c r="K227" i="12"/>
  <c r="K229" i="12"/>
  <c r="K231" i="12"/>
  <c r="K234" i="12"/>
  <c r="K235" i="12"/>
  <c r="K236" i="12"/>
  <c r="K241" i="12"/>
  <c r="K242" i="12"/>
  <c r="K244" i="12"/>
  <c r="K246" i="12"/>
  <c r="K247" i="12"/>
  <c r="K253" i="12"/>
  <c r="K259" i="12"/>
  <c r="K260" i="12"/>
  <c r="K261" i="12"/>
  <c r="K268" i="12"/>
  <c r="K269" i="12"/>
  <c r="K270" i="12"/>
  <c r="F3" i="12" l="1"/>
  <c r="F4" i="12"/>
  <c r="F5" i="12"/>
  <c r="F6" i="12"/>
  <c r="F7" i="12"/>
  <c r="F8" i="12"/>
  <c r="F9" i="12"/>
  <c r="F10" i="12"/>
  <c r="F11" i="12"/>
  <c r="F12" i="12"/>
  <c r="F13" i="12"/>
  <c r="F14" i="12"/>
  <c r="F15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3" i="12"/>
  <c r="F144" i="12"/>
  <c r="F145" i="12"/>
  <c r="F147" i="12"/>
  <c r="F148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41" i="12"/>
  <c r="F242" i="12"/>
  <c r="F243" i="12"/>
  <c r="F244" i="12"/>
  <c r="F245" i="12"/>
  <c r="F246" i="12"/>
  <c r="F247" i="12"/>
  <c r="F248" i="12"/>
  <c r="F250" i="12"/>
  <c r="F252" i="12"/>
  <c r="F253" i="12"/>
  <c r="F254" i="12"/>
  <c r="F255" i="12"/>
  <c r="F256" i="12"/>
  <c r="F257" i="12"/>
  <c r="F258" i="12"/>
  <c r="F259" i="12"/>
  <c r="F260" i="12"/>
  <c r="F261" i="12"/>
  <c r="F262" i="12"/>
  <c r="F263" i="12"/>
  <c r="F264" i="12"/>
  <c r="F265" i="12"/>
  <c r="F266" i="12"/>
  <c r="F267" i="12"/>
  <c r="F268" i="12"/>
  <c r="F269" i="12"/>
  <c r="F270" i="12"/>
  <c r="F2" i="12"/>
  <c r="A1" i="2" a="1"/>
  <c r="A1" i="2" s="1"/>
  <c r="K13" i="7" l="1"/>
  <c r="K55" i="4" l="1"/>
  <c r="K55" i="3" s="1"/>
  <c r="K39" i="2" s="1"/>
  <c r="K55" i="1" s="1"/>
  <c r="K56" i="4"/>
  <c r="K56" i="3" s="1"/>
  <c r="K40" i="2" s="1"/>
  <c r="K56" i="1" s="1"/>
  <c r="K57" i="4"/>
  <c r="K57" i="3" s="1"/>
  <c r="K41" i="2" s="1"/>
  <c r="K57" i="1" s="1"/>
  <c r="K59" i="4"/>
  <c r="K59" i="3" s="1"/>
  <c r="K43" i="2" s="1"/>
  <c r="K59" i="1" s="1"/>
  <c r="K63" i="4"/>
  <c r="K63" i="3" s="1"/>
  <c r="K45" i="2" s="1"/>
  <c r="K63" i="1" s="1"/>
  <c r="K66" i="4"/>
  <c r="K66" i="3" s="1"/>
  <c r="K48" i="2" s="1"/>
  <c r="K66" i="1" s="1"/>
  <c r="K96" i="4"/>
  <c r="K96" i="3" s="1"/>
  <c r="K61" i="2" s="1"/>
  <c r="K96" i="1" s="1"/>
  <c r="K100" i="4"/>
  <c r="K100" i="3" s="1"/>
  <c r="K63" i="2" s="1"/>
  <c r="K100" i="1" s="1"/>
  <c r="K103" i="4"/>
  <c r="K103" i="3" s="1"/>
  <c r="K64" i="2" s="1"/>
  <c r="K103" i="1" s="1"/>
  <c r="K104" i="4"/>
  <c r="K104" i="3" s="1"/>
  <c r="K65" i="2" s="1"/>
  <c r="K104" i="1" s="1"/>
  <c r="K107" i="4"/>
  <c r="K107" i="3" s="1"/>
  <c r="K67" i="2" s="1"/>
  <c r="K107" i="1" s="1"/>
  <c r="K128" i="4"/>
  <c r="K128" i="3" s="1"/>
  <c r="K78" i="2" s="1"/>
  <c r="K128" i="1" s="1"/>
  <c r="K180" i="4"/>
  <c r="K180" i="3" s="1"/>
  <c r="K82" i="2" s="1"/>
  <c r="K180" i="1" s="1"/>
  <c r="K181" i="4"/>
  <c r="K181" i="3" s="1"/>
  <c r="K83" i="2" s="1"/>
  <c r="K181" i="1" s="1"/>
  <c r="K187" i="4"/>
  <c r="K187" i="3" s="1"/>
  <c r="K88" i="2" s="1"/>
  <c r="K187" i="1" s="1"/>
  <c r="K203" i="4"/>
  <c r="K203" i="3" s="1"/>
  <c r="K98" i="2" s="1"/>
  <c r="K203" i="1" s="1"/>
  <c r="K210" i="4"/>
  <c r="K210" i="3" s="1"/>
  <c r="K104" i="2" s="1"/>
  <c r="K210" i="1" s="1"/>
  <c r="K246" i="4"/>
  <c r="K246" i="3" s="1"/>
  <c r="K139" i="2" s="1"/>
  <c r="K258" i="4"/>
  <c r="K258" i="3" s="1"/>
  <c r="K265" i="4"/>
  <c r="K266" i="4"/>
  <c r="K266" i="3" s="1"/>
  <c r="K304" i="4"/>
  <c r="K304" i="3" s="1"/>
  <c r="K308" i="4"/>
  <c r="K309" i="4"/>
  <c r="K313" i="4"/>
  <c r="K317" i="4"/>
  <c r="K319" i="4"/>
  <c r="K16" i="6"/>
  <c r="K20" i="4" s="1"/>
  <c r="K265" i="3" s="1"/>
  <c r="K29" i="6"/>
  <c r="K42" i="4" s="1"/>
  <c r="K42" i="3" s="1"/>
  <c r="K29" i="2" s="1"/>
  <c r="K42" i="1" s="1"/>
  <c r="K43" i="6"/>
  <c r="K62" i="4" s="1"/>
  <c r="K62" i="3" s="1"/>
  <c r="K44" i="2" s="1"/>
  <c r="K62" i="1" s="1"/>
  <c r="K53" i="6"/>
  <c r="K86" i="4" s="1"/>
  <c r="K86" i="3" s="1"/>
  <c r="K56" i="2" s="1"/>
  <c r="K86" i="1" s="1"/>
  <c r="K54" i="6"/>
  <c r="K87" i="4" s="1"/>
  <c r="K87" i="3" s="1"/>
  <c r="K57" i="2" s="1"/>
  <c r="K87" i="1" s="1"/>
  <c r="K71" i="6"/>
  <c r="K124" i="4" s="1"/>
  <c r="K97" i="6"/>
  <c r="K221" i="4" s="1"/>
  <c r="K221" i="3" s="1"/>
  <c r="K114" i="2" s="1"/>
  <c r="K221" i="1" s="1"/>
  <c r="K102" i="6"/>
  <c r="K228" i="4" s="1"/>
  <c r="K228" i="3" s="1"/>
  <c r="K121" i="2" s="1"/>
  <c r="K228" i="1" s="1"/>
  <c r="K104" i="6"/>
  <c r="K231" i="4" s="1"/>
  <c r="K231" i="3" s="1"/>
  <c r="K124" i="2" s="1"/>
  <c r="K231" i="1" s="1"/>
  <c r="K107" i="6"/>
  <c r="K237" i="4" s="1"/>
  <c r="K237" i="3" s="1"/>
  <c r="K130" i="2" s="1"/>
  <c r="K237" i="1" s="1"/>
  <c r="K109" i="6"/>
  <c r="K240" i="4" s="1"/>
  <c r="K240" i="3" s="1"/>
  <c r="K133" i="2" s="1"/>
  <c r="K110" i="6"/>
  <c r="K241" i="4" s="1"/>
  <c r="K241" i="3" s="1"/>
  <c r="K134" i="2" s="1"/>
  <c r="K111" i="6"/>
  <c r="K244" i="4" s="1"/>
  <c r="K244" i="3" s="1"/>
  <c r="K137" i="2" s="1"/>
  <c r="K113" i="6"/>
  <c r="K249" i="4" s="1"/>
  <c r="K249" i="3" s="1"/>
  <c r="K142" i="2" s="1"/>
  <c r="K120" i="6"/>
  <c r="K259" i="4" s="1"/>
  <c r="K259" i="3" s="1"/>
  <c r="K151" i="6"/>
  <c r="K292" i="4" s="1"/>
  <c r="K292" i="3" s="1"/>
  <c r="K154" i="6"/>
  <c r="K295" i="4" s="1"/>
  <c r="K295" i="3" s="1"/>
  <c r="K157" i="6"/>
  <c r="K299" i="4" s="1"/>
  <c r="K299" i="3" s="1"/>
  <c r="K158" i="6"/>
  <c r="K300" i="4" s="1"/>
  <c r="K300" i="3" s="1"/>
  <c r="K159" i="6"/>
  <c r="K175" i="4" s="1"/>
  <c r="K175" i="3" s="1"/>
  <c r="K161" i="6"/>
  <c r="K303" i="4" s="1"/>
  <c r="K303" i="3" s="1"/>
  <c r="K164" i="6"/>
  <c r="K307" i="4" s="1"/>
  <c r="K168" i="6"/>
  <c r="K311" i="4" s="1"/>
  <c r="K170" i="6"/>
  <c r="K314" i="4" s="1"/>
  <c r="K171" i="6"/>
  <c r="K315" i="4" s="1"/>
  <c r="K176" i="6"/>
  <c r="K142" i="4" s="1"/>
  <c r="K142" i="3" s="1"/>
  <c r="K179" i="6"/>
  <c r="K184" i="6"/>
  <c r="K190" i="6"/>
  <c r="K193" i="6"/>
  <c r="K199" i="6"/>
  <c r="K78" i="4" s="1"/>
  <c r="K78" i="3" s="1"/>
  <c r="K204" i="6"/>
  <c r="K205" i="6"/>
  <c r="K3" i="7"/>
  <c r="K3" i="6" s="1"/>
  <c r="K3" i="4" s="1"/>
  <c r="K3" i="3" s="1"/>
  <c r="K3" i="2" s="1"/>
  <c r="K3" i="1" s="1"/>
  <c r="K4" i="7"/>
  <c r="K4" i="6" s="1"/>
  <c r="K4" i="4" s="1"/>
  <c r="K4" i="3" s="1"/>
  <c r="K4" i="2" s="1"/>
  <c r="K4" i="1" s="1"/>
  <c r="K5" i="7"/>
  <c r="K5" i="6" s="1"/>
  <c r="K5" i="4" s="1"/>
  <c r="K5" i="3" s="1"/>
  <c r="K5" i="2" s="1"/>
  <c r="K5" i="1" s="1"/>
  <c r="K6" i="7"/>
  <c r="K6" i="6" s="1"/>
  <c r="K6" i="4" s="1"/>
  <c r="K6" i="3" s="1"/>
  <c r="K6" i="2" s="1"/>
  <c r="K6" i="1" s="1"/>
  <c r="K7" i="7"/>
  <c r="K7" i="6" s="1"/>
  <c r="K7" i="4" s="1"/>
  <c r="K7" i="3" s="1"/>
  <c r="K7" i="2" s="1"/>
  <c r="K7" i="1" s="1"/>
  <c r="K8" i="7"/>
  <c r="K8" i="6" s="1"/>
  <c r="K8" i="4" s="1"/>
  <c r="K8" i="3" s="1"/>
  <c r="K8" i="2" s="1"/>
  <c r="K8" i="1" s="1"/>
  <c r="K9" i="7"/>
  <c r="K9" i="6" s="1"/>
  <c r="K10" i="4" s="1"/>
  <c r="K10" i="3" s="1"/>
  <c r="K9" i="2" s="1"/>
  <c r="K10" i="1" s="1"/>
  <c r="K10" i="7"/>
  <c r="K10" i="6" s="1"/>
  <c r="K12" i="4" s="1"/>
  <c r="K12" i="3" s="1"/>
  <c r="K10" i="2" s="1"/>
  <c r="K12" i="1" s="1"/>
  <c r="K11" i="7"/>
  <c r="K11" i="6" s="1"/>
  <c r="K14" i="4" s="1"/>
  <c r="K14" i="3" s="1"/>
  <c r="K11" i="2" s="1"/>
  <c r="K14" i="1" s="1"/>
  <c r="K12" i="7"/>
  <c r="K12" i="6" s="1"/>
  <c r="K15" i="4" s="1"/>
  <c r="K15" i="3" s="1"/>
  <c r="K12" i="2" s="1"/>
  <c r="K15" i="1" s="1"/>
  <c r="K13" i="6"/>
  <c r="K16" i="4" s="1"/>
  <c r="K16" i="3" s="1"/>
  <c r="K13" i="2" s="1"/>
  <c r="K16" i="1" s="1"/>
  <c r="K14" i="7"/>
  <c r="K14" i="6" s="1"/>
  <c r="K13" i="4" s="1"/>
  <c r="K13" i="3" s="1"/>
  <c r="K15" i="7"/>
  <c r="K15" i="6" s="1"/>
  <c r="K18" i="4" s="1"/>
  <c r="K18" i="3" s="1"/>
  <c r="K15" i="2" s="1"/>
  <c r="K18" i="1" s="1"/>
  <c r="K17" i="7"/>
  <c r="K17" i="6" s="1"/>
  <c r="K21" i="4" s="1"/>
  <c r="K21" i="3" s="1"/>
  <c r="K17" i="2" s="1"/>
  <c r="K21" i="1" s="1"/>
  <c r="K18" i="7"/>
  <c r="K18" i="6" s="1"/>
  <c r="K22" i="4" s="1"/>
  <c r="K22" i="3" s="1"/>
  <c r="K18" i="2" s="1"/>
  <c r="K117" i="1" s="1"/>
  <c r="K19" i="7"/>
  <c r="K19" i="6" s="1"/>
  <c r="K89" i="4" s="1"/>
  <c r="K89" i="3" s="1"/>
  <c r="K20" i="7"/>
  <c r="K20" i="6" s="1"/>
  <c r="K25" i="4" s="1"/>
  <c r="K25" i="3" s="1"/>
  <c r="K20" i="2" s="1"/>
  <c r="K25" i="1" s="1"/>
  <c r="K21" i="7"/>
  <c r="K21" i="6" s="1"/>
  <c r="K28" i="4" s="1"/>
  <c r="K28" i="3" s="1"/>
  <c r="K21" i="2" s="1"/>
  <c r="K28" i="1" s="1"/>
  <c r="K22" i="7"/>
  <c r="K22" i="6" s="1"/>
  <c r="K30" i="4" s="1"/>
  <c r="K30" i="3" s="1"/>
  <c r="K22" i="2" s="1"/>
  <c r="K30" i="1" s="1"/>
  <c r="K23" i="7"/>
  <c r="K23" i="6" s="1"/>
  <c r="K33" i="4" s="1"/>
  <c r="K33" i="3" s="1"/>
  <c r="K23" i="2" s="1"/>
  <c r="K33" i="1" s="1"/>
  <c r="K24" i="7"/>
  <c r="K24" i="6" s="1"/>
  <c r="K34" i="4" s="1"/>
  <c r="K34" i="3" s="1"/>
  <c r="K24" i="2" s="1"/>
  <c r="K34" i="1" s="1"/>
  <c r="K25" i="7"/>
  <c r="K25" i="6" s="1"/>
  <c r="K35" i="4" s="1"/>
  <c r="K35" i="3" s="1"/>
  <c r="K26" i="7"/>
  <c r="K26" i="6" s="1"/>
  <c r="K39" i="4" s="1"/>
  <c r="K39" i="3" s="1"/>
  <c r="K26" i="2" s="1"/>
  <c r="K39" i="1" s="1"/>
  <c r="K27" i="7"/>
  <c r="K27" i="6" s="1"/>
  <c r="K40" i="4" s="1"/>
  <c r="K40" i="3" s="1"/>
  <c r="K27" i="2" s="1"/>
  <c r="K162" i="1" s="1"/>
  <c r="K28" i="7"/>
  <c r="K28" i="6" s="1"/>
  <c r="K41" i="4" s="1"/>
  <c r="K41" i="3" s="1"/>
  <c r="K28" i="2" s="1"/>
  <c r="K41" i="1" s="1"/>
  <c r="K30" i="7"/>
  <c r="K30" i="6" s="1"/>
  <c r="K43" i="4" s="1"/>
  <c r="K43" i="3" s="1"/>
  <c r="K30" i="2" s="1"/>
  <c r="K43" i="1" s="1"/>
  <c r="K31" i="7"/>
  <c r="K31" i="6" s="1"/>
  <c r="K44" i="4" s="1"/>
  <c r="K166" i="3" s="1"/>
  <c r="K32" i="7"/>
  <c r="K32" i="6" s="1"/>
  <c r="K45" i="4" s="1"/>
  <c r="K45" i="3" s="1"/>
  <c r="K32" i="2" s="1"/>
  <c r="K155" i="1" s="1"/>
  <c r="K33" i="7"/>
  <c r="K33" i="6" s="1"/>
  <c r="K47" i="4" s="1"/>
  <c r="K47" i="3" s="1"/>
  <c r="K33" i="2" s="1"/>
  <c r="K47" i="1" s="1"/>
  <c r="K34" i="7"/>
  <c r="K34" i="6" s="1"/>
  <c r="K49" i="4" s="1"/>
  <c r="K49" i="3" s="1"/>
  <c r="K35" i="2" s="1"/>
  <c r="K49" i="1" s="1"/>
  <c r="K35" i="7"/>
  <c r="K35" i="6" s="1"/>
  <c r="K50" i="4" s="1"/>
  <c r="K50" i="3" s="1"/>
  <c r="K36" i="2" s="1"/>
  <c r="K50" i="1" s="1"/>
  <c r="K36" i="7"/>
  <c r="K74" i="6" s="1"/>
  <c r="K176" i="4" s="1"/>
  <c r="K176" i="3" s="1"/>
  <c r="K81" i="2" s="1"/>
  <c r="K176" i="1" s="1"/>
  <c r="K37" i="7"/>
  <c r="K81" i="6" s="1"/>
  <c r="K194" i="4" s="1"/>
  <c r="K194" i="3" s="1"/>
  <c r="K91" i="2" s="1"/>
  <c r="K194" i="1" s="1"/>
  <c r="K38" i="7"/>
  <c r="K82" i="6" s="1"/>
  <c r="K195" i="4" s="1"/>
  <c r="K195" i="3" s="1"/>
  <c r="K92" i="2" s="1"/>
  <c r="K195" i="1" s="1"/>
  <c r="K39" i="7"/>
  <c r="K83" i="6" s="1"/>
  <c r="K196" i="4" s="1"/>
  <c r="K196" i="3" s="1"/>
  <c r="K93" i="2" s="1"/>
  <c r="K196" i="1" s="1"/>
  <c r="K40" i="7"/>
  <c r="K84" i="6" s="1"/>
  <c r="K197" i="4" s="1"/>
  <c r="K197" i="3" s="1"/>
  <c r="K94" i="2" s="1"/>
  <c r="K197" i="1" s="1"/>
  <c r="K41" i="7"/>
  <c r="K36" i="6" s="1"/>
  <c r="K52" i="4" s="1"/>
  <c r="K216" i="3" s="1"/>
  <c r="K42" i="7"/>
  <c r="K37" i="6" s="1"/>
  <c r="K54" i="4" s="1"/>
  <c r="K54" i="3" s="1"/>
  <c r="K38" i="2" s="1"/>
  <c r="K54" i="1" s="1"/>
  <c r="K43" i="7"/>
  <c r="K93" i="6" s="1"/>
  <c r="K211" i="4" s="1"/>
  <c r="K211" i="3" s="1"/>
  <c r="K105" i="2" s="1"/>
  <c r="K211" i="1" s="1"/>
  <c r="K44" i="7"/>
  <c r="K41" i="6" s="1"/>
  <c r="K58" i="4" s="1"/>
  <c r="K58" i="3" s="1"/>
  <c r="K42" i="2" s="1"/>
  <c r="K58" i="1" s="1"/>
  <c r="K46" i="7"/>
  <c r="K116" i="6" s="1"/>
  <c r="K255" i="4" s="1"/>
  <c r="K255" i="3" s="1"/>
  <c r="K148" i="2" s="1"/>
  <c r="K47" i="7"/>
  <c r="K45" i="6" s="1"/>
  <c r="K64" i="4" s="1"/>
  <c r="K64" i="3" s="1"/>
  <c r="K76" i="2" s="1"/>
  <c r="K48" i="7"/>
  <c r="K46" i="6" s="1"/>
  <c r="K65" i="4" s="1"/>
  <c r="K65" i="3" s="1"/>
  <c r="K47" i="2" s="1"/>
  <c r="K65" i="1" s="1"/>
  <c r="K49" i="7"/>
  <c r="K48" i="6" s="1"/>
  <c r="K67" i="4" s="1"/>
  <c r="K67" i="3" s="1"/>
  <c r="K49" i="2" s="1"/>
  <c r="K67" i="1" s="1"/>
  <c r="K50" i="7"/>
  <c r="K49" i="6" s="1"/>
  <c r="K68" i="4" s="1"/>
  <c r="K68" i="3" s="1"/>
  <c r="K50" i="2" s="1"/>
  <c r="K68" i="1" s="1"/>
  <c r="K51" i="7"/>
  <c r="K50" i="6" s="1"/>
  <c r="K70" i="4" s="1"/>
  <c r="K70" i="3" s="1"/>
  <c r="K51" i="2" s="1"/>
  <c r="K70" i="1" s="1"/>
  <c r="K52" i="7"/>
  <c r="K51" i="6" s="1"/>
  <c r="K71" i="4" s="1"/>
  <c r="K71" i="3" s="1"/>
  <c r="K52" i="2" s="1"/>
  <c r="K71" i="1" s="1"/>
  <c r="K53" i="7"/>
  <c r="K52" i="6" s="1"/>
  <c r="K77" i="4" s="1"/>
  <c r="K77" i="3" s="1"/>
  <c r="K53" i="2" s="1"/>
  <c r="K77" i="1" s="1"/>
  <c r="K54" i="7"/>
  <c r="K57" i="7"/>
  <c r="K55" i="6" s="1"/>
  <c r="K91" i="4" s="1"/>
  <c r="K183" i="3" s="1"/>
  <c r="K58" i="7"/>
  <c r="K56" i="6" s="1"/>
  <c r="K93" i="4" s="1"/>
  <c r="K93" i="3" s="1"/>
  <c r="K59" i="2" s="1"/>
  <c r="K93" i="1" s="1"/>
  <c r="K59" i="7"/>
  <c r="K117" i="6" s="1"/>
  <c r="K256" i="4" s="1"/>
  <c r="K256" i="3" s="1"/>
  <c r="K61" i="7"/>
  <c r="K58" i="6" s="1"/>
  <c r="K99" i="4" s="1"/>
  <c r="K99" i="3" s="1"/>
  <c r="K62" i="2" s="1"/>
  <c r="K99" i="1" s="1"/>
  <c r="K62" i="7"/>
  <c r="K118" i="6" s="1"/>
  <c r="K257" i="4" s="1"/>
  <c r="K257" i="3" s="1"/>
  <c r="K63" i="7"/>
  <c r="K127" i="6" s="1"/>
  <c r="K167" i="4" s="1"/>
  <c r="K64" i="7"/>
  <c r="K62" i="6" s="1"/>
  <c r="K105" i="4" s="1"/>
  <c r="K105" i="3" s="1"/>
  <c r="K66" i="2" s="1"/>
  <c r="K105" i="1" s="1"/>
  <c r="K65" i="7"/>
  <c r="K128" i="6" s="1"/>
  <c r="K269" i="4" s="1"/>
  <c r="K269" i="3" s="1"/>
  <c r="K66" i="7"/>
  <c r="K64" i="6" s="1"/>
  <c r="K111" i="4" s="1"/>
  <c r="K111" i="3" s="1"/>
  <c r="K68" i="2" s="1"/>
  <c r="K111" i="1" s="1"/>
  <c r="K67" i="7"/>
  <c r="K65" i="6" s="1"/>
  <c r="K112" i="4" s="1"/>
  <c r="K112" i="3" s="1"/>
  <c r="K69" i="2" s="1"/>
  <c r="K112" i="1" s="1"/>
  <c r="K68" i="7"/>
  <c r="K66" i="6" s="1"/>
  <c r="K113" i="4" s="1"/>
  <c r="K113" i="3" s="1"/>
  <c r="K70" i="2" s="1"/>
  <c r="K113" i="1" s="1"/>
  <c r="K69" i="7"/>
  <c r="K67" i="6" s="1"/>
  <c r="K114" i="4" s="1"/>
  <c r="K114" i="3" s="1"/>
  <c r="K71" i="2" s="1"/>
  <c r="K114" i="1" s="1"/>
  <c r="K70" i="7"/>
  <c r="K68" i="6" s="1"/>
  <c r="K118" i="4" s="1"/>
  <c r="K118" i="3" s="1"/>
  <c r="K73" i="2" s="1"/>
  <c r="K118" i="1" s="1"/>
  <c r="K71" i="7"/>
  <c r="K69" i="6" s="1"/>
  <c r="K119" i="4" s="1"/>
  <c r="K263" i="3" s="1"/>
  <c r="K72" i="7"/>
  <c r="K70" i="6" s="1"/>
  <c r="K120" i="4" s="1"/>
  <c r="K120" i="3" s="1"/>
  <c r="K75" i="2" s="1"/>
  <c r="K120" i="1" s="1"/>
  <c r="K74" i="7"/>
  <c r="K72" i="6" s="1"/>
  <c r="K126" i="4" s="1"/>
  <c r="K126" i="3" s="1"/>
  <c r="K77" i="2" s="1"/>
  <c r="K126" i="1" s="1"/>
  <c r="K75" i="7"/>
  <c r="K129" i="6" s="1"/>
  <c r="K270" i="4" s="1"/>
  <c r="K270" i="3" s="1"/>
  <c r="K77" i="7"/>
  <c r="K130" i="6" s="1"/>
  <c r="K271" i="4" s="1"/>
  <c r="K271" i="3" s="1"/>
  <c r="K78" i="7"/>
  <c r="K131" i="6" s="1"/>
  <c r="K272" i="4" s="1"/>
  <c r="K272" i="3" s="1"/>
  <c r="K79" i="7"/>
  <c r="K132" i="6" s="1"/>
  <c r="K273" i="4" s="1"/>
  <c r="K273" i="3" s="1"/>
  <c r="K80" i="7"/>
  <c r="K133" i="6" s="1"/>
  <c r="K274" i="4" s="1"/>
  <c r="K274" i="3" s="1"/>
  <c r="K81" i="7"/>
  <c r="K134" i="6" s="1"/>
  <c r="K275" i="4" s="1"/>
  <c r="K275" i="3" s="1"/>
  <c r="K82" i="7"/>
  <c r="K77" i="6" s="1"/>
  <c r="K186" i="4" s="1"/>
  <c r="K186" i="3" s="1"/>
  <c r="K87" i="2" s="1"/>
  <c r="K186" i="1" s="1"/>
  <c r="K83" i="7"/>
  <c r="K79" i="6" s="1"/>
  <c r="K189" i="4" s="1"/>
  <c r="K189" i="3" s="1"/>
  <c r="K89" i="2" s="1"/>
  <c r="K189" i="1" s="1"/>
  <c r="K84" i="7"/>
  <c r="K80" i="6" s="1"/>
  <c r="K191" i="4" s="1"/>
  <c r="K191" i="3" s="1"/>
  <c r="K90" i="2" s="1"/>
  <c r="K191" i="1" s="1"/>
  <c r="K85" i="7"/>
  <c r="K135" i="6" s="1"/>
  <c r="K276" i="4" s="1"/>
  <c r="K276" i="3" s="1"/>
  <c r="K86" i="7"/>
  <c r="K136" i="6" s="1"/>
  <c r="K277" i="4" s="1"/>
  <c r="K277" i="3" s="1"/>
  <c r="K87" i="7"/>
  <c r="K137" i="6" s="1"/>
  <c r="K278" i="4" s="1"/>
  <c r="K278" i="3" s="1"/>
  <c r="K88" i="7"/>
  <c r="K138" i="6" s="1"/>
  <c r="K279" i="4" s="1"/>
  <c r="K279" i="3" s="1"/>
  <c r="K89" i="7"/>
  <c r="K139" i="6" s="1"/>
  <c r="K280" i="4" s="1"/>
  <c r="K280" i="3" s="1"/>
  <c r="K90" i="7"/>
  <c r="K140" i="6" s="1"/>
  <c r="K281" i="4" s="1"/>
  <c r="K281" i="3" s="1"/>
  <c r="K91" i="7"/>
  <c r="K85" i="6" s="1"/>
  <c r="K199" i="4" s="1"/>
  <c r="K199" i="3" s="1"/>
  <c r="K96" i="2" s="1"/>
  <c r="K199" i="1" s="1"/>
  <c r="K92" i="7"/>
  <c r="K86" i="6" s="1"/>
  <c r="K200" i="4" s="1"/>
  <c r="K200" i="3" s="1"/>
  <c r="K97" i="2" s="1"/>
  <c r="K200" i="1" s="1"/>
  <c r="K93" i="7"/>
  <c r="K141" i="6" s="1"/>
  <c r="K282" i="4" s="1"/>
  <c r="K282" i="3" s="1"/>
  <c r="K94" i="7"/>
  <c r="K88" i="6" s="1"/>
  <c r="K205" i="4" s="1"/>
  <c r="K205" i="3" s="1"/>
  <c r="K99" i="2" s="1"/>
  <c r="K205" i="1" s="1"/>
  <c r="K95" i="7"/>
  <c r="K89" i="6" s="1"/>
  <c r="K206" i="4" s="1"/>
  <c r="K206" i="3" s="1"/>
  <c r="K100" i="2" s="1"/>
  <c r="K206" i="1" s="1"/>
  <c r="K96" i="7"/>
  <c r="K90" i="6" s="1"/>
  <c r="K207" i="4" s="1"/>
  <c r="K207" i="3" s="1"/>
  <c r="K101" i="2" s="1"/>
  <c r="K207" i="1" s="1"/>
  <c r="K97" i="7"/>
  <c r="K91" i="6" s="1"/>
  <c r="K208" i="4" s="1"/>
  <c r="K208" i="3" s="1"/>
  <c r="K102" i="2" s="1"/>
  <c r="K208" i="1" s="1"/>
  <c r="K98" i="7"/>
  <c r="K142" i="6" s="1"/>
  <c r="K283" i="4" s="1"/>
  <c r="K283" i="3" s="1"/>
  <c r="K99" i="7"/>
  <c r="K143" i="6" s="1"/>
  <c r="K284" i="4" s="1"/>
  <c r="K284" i="3" s="1"/>
  <c r="K100" i="7"/>
  <c r="K144" i="6" s="1"/>
  <c r="K285" i="4" s="1"/>
  <c r="K285" i="3" s="1"/>
  <c r="K101" i="7"/>
  <c r="K94" i="6" s="1"/>
  <c r="K213" i="4" s="1"/>
  <c r="K213" i="3" s="1"/>
  <c r="K107" i="2" s="1"/>
  <c r="K213" i="1" s="1"/>
  <c r="K102" i="7"/>
  <c r="K95" i="6" s="1"/>
  <c r="K215" i="4" s="1"/>
  <c r="K215" i="3" s="1"/>
  <c r="K108" i="2" s="1"/>
  <c r="K215" i="1" s="1"/>
  <c r="K103" i="7"/>
  <c r="K96" i="6" s="1"/>
  <c r="K219" i="4" s="1"/>
  <c r="K219" i="3" s="1"/>
  <c r="K112" i="2" s="1"/>
  <c r="K219" i="1" s="1"/>
  <c r="K105" i="7"/>
  <c r="K98" i="6" s="1"/>
  <c r="K222" i="4" s="1"/>
  <c r="K222" i="3" s="1"/>
  <c r="K115" i="2" s="1"/>
  <c r="K222" i="1" s="1"/>
  <c r="K106" i="7"/>
  <c r="K99" i="6" s="1"/>
  <c r="K223" i="4" s="1"/>
  <c r="K223" i="3" s="1"/>
  <c r="K116" i="2" s="1"/>
  <c r="K223" i="1" s="1"/>
  <c r="K107" i="7"/>
  <c r="K100" i="6" s="1"/>
  <c r="K225" i="4" s="1"/>
  <c r="K225" i="3" s="1"/>
  <c r="K118" i="2" s="1"/>
  <c r="K225" i="1" s="1"/>
  <c r="K108" i="7"/>
  <c r="K101" i="6" s="1"/>
  <c r="K226" i="4" s="1"/>
  <c r="K226" i="3" s="1"/>
  <c r="K119" i="2" s="1"/>
  <c r="K226" i="1" s="1"/>
  <c r="K110" i="7"/>
  <c r="K145" i="6" s="1"/>
  <c r="K286" i="4" s="1"/>
  <c r="K286" i="3" s="1"/>
  <c r="K111" i="7"/>
  <c r="K103" i="6" s="1"/>
  <c r="K230" i="4" s="1"/>
  <c r="K230" i="3" s="1"/>
  <c r="K123" i="2" s="1"/>
  <c r="K230" i="1" s="1"/>
  <c r="K113" i="7"/>
  <c r="K105" i="6" s="1"/>
  <c r="K233" i="4" s="1"/>
  <c r="K233" i="3" s="1"/>
  <c r="K126" i="2" s="1"/>
  <c r="K233" i="1" s="1"/>
  <c r="K114" i="7"/>
  <c r="K106" i="6" s="1"/>
  <c r="K235" i="4" s="1"/>
  <c r="K235" i="3" s="1"/>
  <c r="K128" i="2" s="1"/>
  <c r="K235" i="1" s="1"/>
  <c r="K116" i="7"/>
  <c r="K108" i="6" s="1"/>
  <c r="K238" i="4" s="1"/>
  <c r="K238" i="3" s="1"/>
  <c r="K131" i="2" s="1"/>
  <c r="K238" i="1" s="1"/>
  <c r="K120" i="7"/>
  <c r="K121" i="7"/>
  <c r="K146" i="6" s="1"/>
  <c r="K287" i="4" s="1"/>
  <c r="K287" i="3" s="1"/>
  <c r="K123" i="7"/>
  <c r="K114" i="6" s="1"/>
  <c r="K250" i="4" s="1"/>
  <c r="K250" i="3" s="1"/>
  <c r="K143" i="2" s="1"/>
  <c r="K124" i="7"/>
  <c r="K115" i="6" s="1"/>
  <c r="K251" i="4" s="1"/>
  <c r="K251" i="3" s="1"/>
  <c r="K144" i="2" s="1"/>
  <c r="K125" i="7"/>
  <c r="K147" i="6" s="1"/>
  <c r="K170" i="4" s="1"/>
  <c r="K170" i="3" s="1"/>
  <c r="K126" i="7"/>
  <c r="K148" i="6" s="1"/>
  <c r="K289" i="4" s="1"/>
  <c r="K289" i="3" s="1"/>
  <c r="K127" i="7"/>
  <c r="K149" i="6" s="1"/>
  <c r="K171" i="4" s="1"/>
  <c r="K171" i="3" s="1"/>
  <c r="K129" i="7"/>
  <c r="K121" i="6" s="1"/>
  <c r="K261" i="4" s="1"/>
  <c r="K261" i="3" s="1"/>
  <c r="K130" i="7"/>
  <c r="K122" i="6" s="1"/>
  <c r="K263" i="4" s="1"/>
  <c r="K131" i="7"/>
  <c r="K123" i="6" s="1"/>
  <c r="K264" i="4" s="1"/>
  <c r="K264" i="3" s="1"/>
  <c r="K132" i="7"/>
  <c r="K126" i="6" s="1"/>
  <c r="K267" i="4" s="1"/>
  <c r="K267" i="3" s="1"/>
  <c r="K133" i="7"/>
  <c r="K150" i="6" s="1"/>
  <c r="K172" i="4" s="1"/>
  <c r="K172" i="3" s="1"/>
  <c r="K135" i="7"/>
  <c r="K152" i="6" s="1"/>
  <c r="K293" i="4" s="1"/>
  <c r="K293" i="3" s="1"/>
  <c r="K136" i="7"/>
  <c r="K153" i="6" s="1"/>
  <c r="K294" i="4" s="1"/>
  <c r="K294" i="3" s="1"/>
  <c r="K138" i="7"/>
  <c r="K155" i="6" s="1"/>
  <c r="K296" i="4" s="1"/>
  <c r="K296" i="3" s="1"/>
  <c r="K139" i="7"/>
  <c r="K156" i="6" s="1"/>
  <c r="K72" i="4" s="1"/>
  <c r="K72" i="3" s="1"/>
  <c r="K143" i="7"/>
  <c r="K160" i="6" s="1"/>
  <c r="K76" i="4" s="1"/>
  <c r="K76" i="3" s="1"/>
  <c r="K144" i="7"/>
  <c r="K163" i="6" s="1"/>
  <c r="K306" i="4" s="1"/>
  <c r="K147" i="7"/>
  <c r="K207" i="6" s="1"/>
  <c r="K321" i="4" s="1"/>
  <c r="K149" i="7"/>
  <c r="K200" i="6" s="1"/>
  <c r="K144" i="4" s="1"/>
  <c r="K144" i="3" s="1"/>
  <c r="K150" i="7"/>
  <c r="K191" i="6" s="1"/>
  <c r="K145" i="4" s="1"/>
  <c r="K145" i="3" s="1"/>
  <c r="K151" i="7"/>
  <c r="K198" i="6" s="1"/>
  <c r="K146" i="4" s="1"/>
  <c r="K146" i="3" s="1"/>
  <c r="K152" i="7"/>
  <c r="K201" i="6" s="1"/>
  <c r="K147" i="4" s="1"/>
  <c r="K147" i="3" s="1"/>
  <c r="K153" i="7"/>
  <c r="K202" i="6" s="1"/>
  <c r="K154" i="7"/>
  <c r="K203" i="6" s="1"/>
  <c r="K155" i="7"/>
  <c r="K177" i="6" s="1"/>
  <c r="K80" i="4" s="1"/>
  <c r="K80" i="3" s="1"/>
  <c r="K156" i="7"/>
  <c r="K157" i="7"/>
  <c r="K158" i="7"/>
  <c r="K159" i="7"/>
  <c r="K160" i="7"/>
  <c r="K161" i="7"/>
  <c r="K162" i="7"/>
  <c r="K163" i="7"/>
  <c r="K164" i="7"/>
  <c r="K165" i="7"/>
  <c r="K166" i="7"/>
  <c r="K168" i="7"/>
  <c r="K169" i="7"/>
  <c r="K170" i="7"/>
  <c r="K171" i="7"/>
  <c r="K172" i="7"/>
  <c r="K167" i="6" s="1"/>
  <c r="K310" i="4" s="1"/>
  <c r="K177" i="7"/>
  <c r="K172" i="6" s="1"/>
  <c r="K316" i="4" s="1"/>
  <c r="K178" i="7"/>
  <c r="K179" i="7"/>
  <c r="K174" i="6" s="1"/>
  <c r="K318" i="4" s="1"/>
  <c r="K180" i="7"/>
  <c r="K181" i="7"/>
  <c r="K182" i="7"/>
  <c r="K178" i="6" s="1"/>
  <c r="K184" i="7"/>
  <c r="K180" i="6" s="1"/>
  <c r="K185" i="7"/>
  <c r="K181" i="6" s="1"/>
  <c r="K186" i="7"/>
  <c r="K182" i="6" s="1"/>
  <c r="K187" i="7"/>
  <c r="K183" i="6" s="1"/>
  <c r="K189" i="7"/>
  <c r="K185" i="6" s="1"/>
  <c r="K190" i="7"/>
  <c r="K186" i="6" s="1"/>
  <c r="K191" i="7"/>
  <c r="K187" i="6" s="1"/>
  <c r="K192" i="7"/>
  <c r="K188" i="6" s="1"/>
  <c r="K193" i="7"/>
  <c r="K195" i="7"/>
  <c r="K196" i="7"/>
  <c r="K197" i="7"/>
  <c r="K198" i="7"/>
  <c r="K199" i="7"/>
  <c r="K200" i="7"/>
  <c r="K196" i="6" s="1"/>
  <c r="K201" i="7"/>
  <c r="K197" i="6" s="1"/>
  <c r="K202" i="7"/>
  <c r="K192" i="6" s="1"/>
  <c r="K204" i="7"/>
  <c r="K194" i="6" s="1"/>
  <c r="K207" i="7"/>
  <c r="K208" i="7"/>
  <c r="K209" i="7"/>
  <c r="K206" i="6" s="1"/>
  <c r="K218" i="7"/>
  <c r="K220" i="7"/>
  <c r="K222" i="7"/>
  <c r="K223" i="7"/>
  <c r="K224" i="7"/>
  <c r="K226" i="7"/>
  <c r="K227" i="7"/>
  <c r="K229" i="7"/>
  <c r="K230" i="7"/>
  <c r="K231" i="7"/>
  <c r="K232" i="7"/>
  <c r="K233" i="7"/>
  <c r="K234" i="7"/>
  <c r="K236" i="7"/>
  <c r="K237" i="7"/>
  <c r="K238" i="7"/>
  <c r="K239" i="7"/>
  <c r="K240" i="7"/>
  <c r="K241" i="7"/>
  <c r="K243" i="7"/>
  <c r="K244" i="7"/>
  <c r="K248" i="7"/>
  <c r="K250" i="7"/>
  <c r="K2" i="7"/>
  <c r="F202" i="4"/>
  <c r="F188" i="4"/>
  <c r="F178" i="4"/>
  <c r="F177" i="4"/>
  <c r="F165" i="4"/>
  <c r="F160" i="4"/>
  <c r="F156" i="4"/>
  <c r="F154" i="4"/>
  <c r="F153" i="4"/>
  <c r="F152" i="4"/>
  <c r="F150" i="4"/>
  <c r="F148" i="4"/>
  <c r="F138" i="4"/>
  <c r="F137" i="4"/>
  <c r="F133" i="4"/>
  <c r="F131" i="4"/>
  <c r="F129" i="4"/>
  <c r="F123" i="4"/>
  <c r="F122" i="4"/>
  <c r="F116" i="4"/>
  <c r="F110" i="4"/>
  <c r="F109" i="4"/>
  <c r="F106" i="4"/>
  <c r="F102" i="4"/>
  <c r="F95" i="4"/>
  <c r="F88" i="4"/>
  <c r="F84" i="4"/>
  <c r="F69" i="4"/>
  <c r="F60" i="4"/>
  <c r="F51" i="4"/>
  <c r="F26" i="4"/>
  <c r="F19" i="4"/>
  <c r="F9" i="4"/>
  <c r="F204" i="3"/>
  <c r="F202" i="3"/>
  <c r="F193" i="3"/>
  <c r="F188" i="3"/>
  <c r="F179" i="3"/>
  <c r="F178" i="3"/>
  <c r="F177" i="3"/>
  <c r="F165" i="3"/>
  <c r="F160" i="3"/>
  <c r="F158" i="3"/>
  <c r="F157" i="3"/>
  <c r="F156" i="3"/>
  <c r="F154" i="3"/>
  <c r="F153" i="3"/>
  <c r="F152" i="3"/>
  <c r="F151" i="3"/>
  <c r="F150" i="3"/>
  <c r="F149" i="3"/>
  <c r="F148" i="3"/>
  <c r="F141" i="3"/>
  <c r="F140" i="3"/>
  <c r="F138" i="3"/>
  <c r="F137" i="3"/>
  <c r="F136" i="3"/>
  <c r="F135" i="3"/>
  <c r="F133" i="3"/>
  <c r="F132" i="3"/>
  <c r="F131" i="3"/>
  <c r="F130" i="3"/>
  <c r="F129" i="3"/>
  <c r="F127" i="3"/>
  <c r="F125" i="3"/>
  <c r="F123" i="3"/>
  <c r="F122" i="3"/>
  <c r="F121" i="3"/>
  <c r="F116" i="3"/>
  <c r="F115" i="3"/>
  <c r="F110" i="3"/>
  <c r="F109" i="3"/>
  <c r="F108" i="3"/>
  <c r="F106" i="3"/>
  <c r="F102" i="3"/>
  <c r="F97" i="3"/>
  <c r="F95" i="3"/>
  <c r="F92" i="3"/>
  <c r="F90" i="3"/>
  <c r="F88" i="3"/>
  <c r="F85" i="3"/>
  <c r="F84" i="3"/>
  <c r="F81" i="3"/>
  <c r="F79" i="3"/>
  <c r="F69" i="3"/>
  <c r="F61" i="3"/>
  <c r="F60" i="3"/>
  <c r="F53" i="3"/>
  <c r="F51" i="3"/>
  <c r="F36" i="3"/>
  <c r="F32" i="3"/>
  <c r="F27" i="3"/>
  <c r="F26" i="3"/>
  <c r="F24" i="3"/>
  <c r="F19" i="3"/>
  <c r="F11" i="3"/>
  <c r="F9" i="3"/>
  <c r="F262" i="4"/>
  <c r="F260" i="4"/>
  <c r="F248" i="4"/>
  <c r="F247" i="4"/>
  <c r="F245" i="4"/>
  <c r="F243" i="4"/>
  <c r="F242" i="4"/>
  <c r="F236" i="4"/>
  <c r="F234" i="4"/>
  <c r="F232" i="4"/>
  <c r="F229" i="4"/>
  <c r="F216" i="4"/>
  <c r="F183" i="4"/>
  <c r="F159" i="4"/>
  <c r="F155" i="4"/>
  <c r="F139" i="4"/>
  <c r="F134" i="4"/>
  <c r="F117" i="4"/>
  <c r="F83" i="4"/>
  <c r="F48" i="4"/>
  <c r="F229" i="3"/>
  <c r="F216" i="3"/>
  <c r="F212" i="3"/>
  <c r="F209" i="3"/>
  <c r="F185" i="3"/>
  <c r="F183" i="3"/>
  <c r="F182" i="3"/>
  <c r="F159" i="3"/>
  <c r="F155" i="3"/>
  <c r="F139" i="3"/>
  <c r="F134" i="3"/>
  <c r="F117" i="3"/>
  <c r="F94" i="3"/>
  <c r="F83" i="3"/>
  <c r="F82" i="3"/>
  <c r="F48" i="3"/>
  <c r="F76" i="2"/>
  <c r="F63" i="2"/>
  <c r="F3" i="2"/>
  <c r="F72" i="2"/>
  <c r="F104" i="2"/>
  <c r="F144" i="2"/>
  <c r="F73" i="2"/>
  <c r="F23" i="2"/>
  <c r="F43" i="2"/>
  <c r="F6" i="2"/>
  <c r="F87" i="2"/>
  <c r="F71" i="2"/>
  <c r="F138" i="2"/>
  <c r="F22" i="2"/>
  <c r="F17" i="2"/>
  <c r="F5" i="2"/>
  <c r="F49" i="2"/>
  <c r="F62" i="2"/>
  <c r="F109" i="2"/>
  <c r="F146" i="2"/>
  <c r="F105" i="2"/>
  <c r="F52" i="2"/>
  <c r="F41" i="2"/>
  <c r="F66" i="2"/>
  <c r="F98" i="2"/>
  <c r="F36" i="2"/>
  <c r="F28" i="2"/>
  <c r="F57" i="2"/>
  <c r="F147" i="2"/>
  <c r="F126" i="2"/>
  <c r="F115" i="2"/>
  <c r="F84" i="2"/>
  <c r="F214" i="1"/>
  <c r="F210" i="1"/>
  <c r="F203" i="1"/>
  <c r="F201" i="1"/>
  <c r="F192" i="1"/>
  <c r="F190" i="1"/>
  <c r="F190" i="3" s="1"/>
  <c r="F182" i="1"/>
  <c r="F182" i="4" s="1"/>
  <c r="F101" i="1"/>
  <c r="F100" i="1"/>
  <c r="F75" i="1"/>
  <c r="F75" i="4" s="1"/>
  <c r="F74" i="1"/>
  <c r="F74" i="4" s="1"/>
  <c r="F59" i="1"/>
  <c r="F57" i="1"/>
  <c r="F6" i="1"/>
  <c r="F20" i="4"/>
  <c r="F20" i="3" s="1"/>
  <c r="F31" i="4"/>
  <c r="F42" i="4"/>
  <c r="F64" i="4"/>
  <c r="F64" i="3" s="1"/>
  <c r="F140" i="2" s="1"/>
  <c r="F73" i="3"/>
  <c r="F91" i="4"/>
  <c r="F91" i="3" s="1"/>
  <c r="F93" i="4"/>
  <c r="F93" i="3" s="1"/>
  <c r="F103" i="4"/>
  <c r="F103" i="3" s="1"/>
  <c r="F128" i="4"/>
  <c r="F128" i="3" s="1"/>
  <c r="F135" i="2" s="1"/>
  <c r="F142" i="4"/>
  <c r="F142" i="3" s="1"/>
  <c r="F162" i="4"/>
  <c r="F166" i="4"/>
  <c r="F256" i="3" s="1"/>
  <c r="F169" i="4"/>
  <c r="F286" i="3" s="1"/>
  <c r="F181" i="4"/>
  <c r="F181" i="3" s="1"/>
  <c r="F231" i="4"/>
  <c r="F231" i="3" s="1"/>
  <c r="F86" i="2" s="1"/>
  <c r="F185" i="1" s="1"/>
  <c r="F61" i="4" s="1"/>
  <c r="F240" i="4"/>
  <c r="F240" i="3" s="1"/>
  <c r="F246" i="4"/>
  <c r="F246" i="3" s="1"/>
  <c r="F251" i="4"/>
  <c r="F251" i="3" s="1"/>
  <c r="F256" i="4"/>
  <c r="F257" i="4"/>
  <c r="F257" i="3" s="1"/>
  <c r="F258" i="4"/>
  <c r="F258" i="3" s="1"/>
  <c r="F263" i="4"/>
  <c r="F263" i="3" s="1"/>
  <c r="F269" i="4"/>
  <c r="F269" i="3" s="1"/>
  <c r="F275" i="4"/>
  <c r="F275" i="3" s="1"/>
  <c r="F278" i="4"/>
  <c r="F278" i="3" s="1"/>
  <c r="F281" i="4"/>
  <c r="F281" i="3" s="1"/>
  <c r="F282" i="4"/>
  <c r="F282" i="3" s="1"/>
  <c r="F283" i="4"/>
  <c r="F283" i="3" s="1"/>
  <c r="F286" i="4"/>
  <c r="F287" i="4"/>
  <c r="F287" i="3" s="1"/>
  <c r="F289" i="4"/>
  <c r="F289" i="3" s="1"/>
  <c r="F310" i="4"/>
  <c r="F317" i="4"/>
  <c r="F318" i="4"/>
  <c r="F319" i="4"/>
  <c r="F320" i="4"/>
  <c r="F16" i="6"/>
  <c r="F29" i="6"/>
  <c r="F43" i="6"/>
  <c r="F53" i="6"/>
  <c r="F54" i="6"/>
  <c r="F71" i="6"/>
  <c r="F97" i="6"/>
  <c r="F102" i="6"/>
  <c r="F104" i="6"/>
  <c r="F107" i="6"/>
  <c r="F109" i="6"/>
  <c r="F110" i="6"/>
  <c r="F111" i="6"/>
  <c r="F113" i="6"/>
  <c r="F120" i="6"/>
  <c r="F151" i="6"/>
  <c r="F154" i="6"/>
  <c r="F157" i="6"/>
  <c r="F158" i="6"/>
  <c r="F159" i="6"/>
  <c r="F161" i="6"/>
  <c r="F164" i="6"/>
  <c r="F168" i="6"/>
  <c r="F170" i="6"/>
  <c r="F171" i="6"/>
  <c r="F176" i="6"/>
  <c r="F179" i="6"/>
  <c r="F184" i="6"/>
  <c r="F190" i="6"/>
  <c r="F193" i="6"/>
  <c r="F199" i="6"/>
  <c r="F204" i="6"/>
  <c r="F205" i="6"/>
  <c r="F206" i="6"/>
  <c r="F2" i="7"/>
  <c r="F2" i="6" s="1"/>
  <c r="F3" i="7"/>
  <c r="F3" i="4" s="1"/>
  <c r="F3" i="3" s="1"/>
  <c r="F4" i="7"/>
  <c r="F4" i="4" s="1"/>
  <c r="F4" i="3" s="1"/>
  <c r="F5" i="7"/>
  <c r="F5" i="4" s="1"/>
  <c r="F5" i="3" s="1"/>
  <c r="F6" i="7"/>
  <c r="F6" i="6" s="1"/>
  <c r="F7" i="7"/>
  <c r="F7" i="4" s="1"/>
  <c r="F7" i="3" s="1"/>
  <c r="F8" i="7"/>
  <c r="F8" i="4" s="1"/>
  <c r="F8" i="3" s="1"/>
  <c r="F9" i="7"/>
  <c r="F10" i="4" s="1"/>
  <c r="F10" i="3" s="1"/>
  <c r="F10" i="7"/>
  <c r="F12" i="4" s="1"/>
  <c r="F12" i="3" s="1"/>
  <c r="F11" i="7"/>
  <c r="F14" i="4" s="1"/>
  <c r="F14" i="3" s="1"/>
  <c r="F12" i="7"/>
  <c r="F15" i="4" s="1"/>
  <c r="F15" i="3" s="1"/>
  <c r="F13" i="7"/>
  <c r="F16" i="4" s="1"/>
  <c r="F16" i="3" s="1"/>
  <c r="F14" i="7"/>
  <c r="F17" i="4" s="1"/>
  <c r="F15" i="7"/>
  <c r="F18" i="4" s="1"/>
  <c r="F18" i="3" s="1"/>
  <c r="F17" i="7"/>
  <c r="F21" i="4" s="1"/>
  <c r="F18" i="7"/>
  <c r="F22" i="4" s="1"/>
  <c r="F22" i="3" s="1"/>
  <c r="F19" i="7"/>
  <c r="F89" i="4" s="1"/>
  <c r="F20" i="7"/>
  <c r="F25" i="4" s="1"/>
  <c r="F25" i="3" s="1"/>
  <c r="F21" i="7"/>
  <c r="F28" i="4" s="1"/>
  <c r="F28" i="3" s="1"/>
  <c r="F22" i="7"/>
  <c r="F22" i="6" s="1"/>
  <c r="F23" i="7"/>
  <c r="F23" i="6" s="1"/>
  <c r="F24" i="7"/>
  <c r="F29" i="4" s="1"/>
  <c r="F34" i="3" s="1"/>
  <c r="F25" i="7"/>
  <c r="F25" i="6" s="1"/>
  <c r="F26" i="7"/>
  <c r="F39" i="4" s="1"/>
  <c r="F39" i="3" s="1"/>
  <c r="F27" i="7"/>
  <c r="F40" i="4" s="1"/>
  <c r="F28" i="7"/>
  <c r="F41" i="4" s="1"/>
  <c r="F41" i="3" s="1"/>
  <c r="F30" i="7"/>
  <c r="F30" i="6" s="1"/>
  <c r="F31" i="7"/>
  <c r="F31" i="6" s="1"/>
  <c r="F32" i="7"/>
  <c r="F164" i="4" s="1"/>
  <c r="F33" i="7"/>
  <c r="F47" i="4" s="1"/>
  <c r="F47" i="3" s="1"/>
  <c r="F34" i="7"/>
  <c r="F49" i="4" s="1"/>
  <c r="F49" i="3" s="1"/>
  <c r="F35" i="7"/>
  <c r="F50" i="4" s="1"/>
  <c r="F36" i="7"/>
  <c r="F74" i="6" s="1"/>
  <c r="F37" i="7"/>
  <c r="F54" i="4" s="1"/>
  <c r="F54" i="3" s="1"/>
  <c r="F38" i="7"/>
  <c r="F55" i="4" s="1"/>
  <c r="F55" i="3" s="1"/>
  <c r="F39" i="7"/>
  <c r="F56" i="4" s="1"/>
  <c r="F56" i="3" s="1"/>
  <c r="F40" i="7"/>
  <c r="F57" i="4" s="1"/>
  <c r="F57" i="3" s="1"/>
  <c r="F41" i="7"/>
  <c r="F58" i="4" s="1"/>
  <c r="F58" i="3" s="1"/>
  <c r="F42" i="7"/>
  <c r="F59" i="4" s="1"/>
  <c r="F59" i="3" s="1"/>
  <c r="F43" i="7"/>
  <c r="F62" i="4" s="1"/>
  <c r="F62" i="3" s="1"/>
  <c r="F44" i="7"/>
  <c r="F41" i="6" s="1"/>
  <c r="F46" i="7"/>
  <c r="F65" i="4" s="1"/>
  <c r="F65" i="3" s="1"/>
  <c r="F47" i="7"/>
  <c r="F45" i="6" s="1"/>
  <c r="F48" i="7"/>
  <c r="F46" i="6" s="1"/>
  <c r="F49" i="7"/>
  <c r="F68" i="4" s="1"/>
  <c r="F68" i="3" s="1"/>
  <c r="F50" i="7"/>
  <c r="F70" i="4" s="1"/>
  <c r="F70" i="3" s="1"/>
  <c r="F51" i="7"/>
  <c r="F71" i="4" s="1"/>
  <c r="F71" i="3" s="1"/>
  <c r="F52" i="7"/>
  <c r="F77" i="4" s="1"/>
  <c r="F77" i="3" s="1"/>
  <c r="F53" i="7"/>
  <c r="F52" i="6" s="1"/>
  <c r="F54" i="7"/>
  <c r="F87" i="4" s="1"/>
  <c r="F87" i="3" s="1"/>
  <c r="F57" i="7"/>
  <c r="F55" i="6" s="1"/>
  <c r="F58" i="7"/>
  <c r="F99" i="4" s="1"/>
  <c r="F99" i="3" s="1"/>
  <c r="F59" i="7"/>
  <c r="F100" i="4" s="1"/>
  <c r="F100" i="3" s="1"/>
  <c r="F136" i="2" s="1"/>
  <c r="F61" i="7"/>
  <c r="F104" i="4" s="1"/>
  <c r="F104" i="3" s="1"/>
  <c r="F62" i="7"/>
  <c r="F105" i="4" s="1"/>
  <c r="F105" i="3" s="1"/>
  <c r="F63" i="7"/>
  <c r="F127" i="6" s="1"/>
  <c r="F64" i="7"/>
  <c r="F111" i="4" s="1"/>
  <c r="F111" i="3" s="1"/>
  <c r="F65" i="7"/>
  <c r="F128" i="6" s="1"/>
  <c r="F66" i="7"/>
  <c r="F113" i="4" s="1"/>
  <c r="F113" i="3" s="1"/>
  <c r="F67" i="7"/>
  <c r="F114" i="4" s="1"/>
  <c r="F114" i="3" s="1"/>
  <c r="F68" i="7"/>
  <c r="F118" i="4" s="1"/>
  <c r="F118" i="3" s="1"/>
  <c r="F69" i="7"/>
  <c r="F119" i="4" s="1"/>
  <c r="F119" i="3" s="1"/>
  <c r="F70" i="7"/>
  <c r="F120" i="4" s="1"/>
  <c r="F120" i="3" s="1"/>
  <c r="F71" i="7"/>
  <c r="F69" i="6" s="1"/>
  <c r="F72" i="7"/>
  <c r="F126" i="4" s="1"/>
  <c r="F126" i="3" s="1"/>
  <c r="F74" i="7"/>
  <c r="F176" i="4" s="1"/>
  <c r="F176" i="3" s="1"/>
  <c r="F75" i="7"/>
  <c r="F180" i="4" s="1"/>
  <c r="F180" i="3" s="1"/>
  <c r="F77" i="7"/>
  <c r="F186" i="4" s="1"/>
  <c r="F186" i="3" s="1"/>
  <c r="F78" i="7"/>
  <c r="F131" i="6" s="1"/>
  <c r="F79" i="7"/>
  <c r="F189" i="4" s="1"/>
  <c r="F189" i="3" s="1"/>
  <c r="F80" i="7"/>
  <c r="F191" i="4" s="1"/>
  <c r="F191" i="3" s="1"/>
  <c r="F81" i="7"/>
  <c r="F194" i="4" s="1"/>
  <c r="F194" i="3" s="1"/>
  <c r="F82" i="7"/>
  <c r="F77" i="6" s="1"/>
  <c r="F83" i="7"/>
  <c r="F79" i="6" s="1"/>
  <c r="F84" i="7"/>
  <c r="F80" i="6" s="1"/>
  <c r="F85" i="7"/>
  <c r="F199" i="4" s="1"/>
  <c r="F199" i="3" s="1"/>
  <c r="F86" i="7"/>
  <c r="F136" i="6" s="1"/>
  <c r="F87" i="7"/>
  <c r="F203" i="4" s="1"/>
  <c r="F203" i="3" s="1"/>
  <c r="F33" i="2" s="1"/>
  <c r="F47" i="1" s="1"/>
  <c r="F88" i="7"/>
  <c r="F205" i="4" s="1"/>
  <c r="F205" i="3" s="1"/>
  <c r="F89" i="7"/>
  <c r="F139" i="6" s="1"/>
  <c r="F90" i="7"/>
  <c r="F207" i="4" s="1"/>
  <c r="F207" i="3" s="1"/>
  <c r="F91" i="7"/>
  <c r="F85" i="6" s="1"/>
  <c r="F92" i="7"/>
  <c r="F86" i="6" s="1"/>
  <c r="F93" i="7"/>
  <c r="F141" i="6" s="1"/>
  <c r="F94" i="7"/>
  <c r="F88" i="6" s="1"/>
  <c r="F95" i="7"/>
  <c r="F215" i="4" s="1"/>
  <c r="F215" i="3" s="1"/>
  <c r="F96" i="7"/>
  <c r="F219" i="4" s="1"/>
  <c r="F219" i="3" s="1"/>
  <c r="F145" i="2" s="1"/>
  <c r="F97" i="7"/>
  <c r="F221" i="4" s="1"/>
  <c r="F221" i="3" s="1"/>
  <c r="F98" i="7"/>
  <c r="F222" i="4" s="1"/>
  <c r="F222" i="3" s="1"/>
  <c r="F99" i="7"/>
  <c r="F143" i="6" s="1"/>
  <c r="F100" i="7"/>
  <c r="F225" i="4" s="1"/>
  <c r="F225" i="3" s="1"/>
  <c r="F101" i="7"/>
  <c r="F226" i="4" s="1"/>
  <c r="F226" i="3" s="1"/>
  <c r="F102" i="7"/>
  <c r="F95" i="6" s="1"/>
  <c r="F103" i="7"/>
  <c r="F230" i="4" s="1"/>
  <c r="F230" i="3" s="1"/>
  <c r="F105" i="7"/>
  <c r="F233" i="4" s="1"/>
  <c r="F233" i="3" s="1"/>
  <c r="F106" i="7"/>
  <c r="F99" i="6" s="1"/>
  <c r="F107" i="7"/>
  <c r="F100" i="6" s="1"/>
  <c r="F108" i="7"/>
  <c r="F238" i="4" s="1"/>
  <c r="F238" i="3" s="1"/>
  <c r="F110" i="7"/>
  <c r="F241" i="4" s="1"/>
  <c r="F241" i="3" s="1"/>
  <c r="F111" i="7"/>
  <c r="F244" i="4" s="1"/>
  <c r="F244" i="3" s="1"/>
  <c r="F113" i="7"/>
  <c r="F249" i="4" s="1"/>
  <c r="F249" i="3" s="1"/>
  <c r="F114" i="7"/>
  <c r="F250" i="4" s="1"/>
  <c r="F250" i="3" s="1"/>
  <c r="F116" i="7"/>
  <c r="F255" i="4" s="1"/>
  <c r="F255" i="3" s="1"/>
  <c r="F120" i="7"/>
  <c r="F259" i="4" s="1"/>
  <c r="F259" i="3" s="1"/>
  <c r="F121" i="7"/>
  <c r="F261" i="4" s="1"/>
  <c r="F261" i="3" s="1"/>
  <c r="F123" i="7"/>
  <c r="F114" i="6" s="1"/>
  <c r="F124" i="7"/>
  <c r="F115" i="6" s="1"/>
  <c r="F125" i="7"/>
  <c r="F147" i="6" s="1"/>
  <c r="F126" i="7"/>
  <c r="F148" i="6" s="1"/>
  <c r="F127" i="7"/>
  <c r="F268" i="4" s="1"/>
  <c r="F129" i="7"/>
  <c r="F121" i="6" s="1"/>
  <c r="F130" i="7"/>
  <c r="F122" i="6" s="1"/>
  <c r="F131" i="7"/>
  <c r="F123" i="6" s="1"/>
  <c r="F132" i="7"/>
  <c r="F126" i="6" s="1"/>
  <c r="F133" i="7"/>
  <c r="F150" i="6" s="1"/>
  <c r="F135" i="7"/>
  <c r="F276" i="4" s="1"/>
  <c r="F276" i="3" s="1"/>
  <c r="F136" i="7"/>
  <c r="F277" i="4" s="1"/>
  <c r="F277" i="3" s="1"/>
  <c r="F138" i="7"/>
  <c r="F155" i="6" s="1"/>
  <c r="F139" i="7"/>
  <c r="F156" i="6" s="1"/>
  <c r="F143" i="7"/>
  <c r="F284" i="4" s="1"/>
  <c r="F284" i="3" s="1"/>
  <c r="F144" i="7"/>
  <c r="F285" i="4" s="1"/>
  <c r="F285" i="3" s="1"/>
  <c r="F147" i="7"/>
  <c r="F170" i="4" s="1"/>
  <c r="F149" i="7"/>
  <c r="F171" i="4" s="1"/>
  <c r="F171" i="3" s="1"/>
  <c r="F150" i="7"/>
  <c r="F191" i="6" s="1"/>
  <c r="F151" i="7"/>
  <c r="F292" i="4" s="1"/>
  <c r="F292" i="3" s="1"/>
  <c r="F152" i="7"/>
  <c r="F293" i="4" s="1"/>
  <c r="F293" i="3" s="1"/>
  <c r="F153" i="7"/>
  <c r="F202" i="6" s="1"/>
  <c r="F154" i="7"/>
  <c r="F173" i="4" s="1"/>
  <c r="F295" i="3" s="1"/>
  <c r="F155" i="7"/>
  <c r="F177" i="6" s="1"/>
  <c r="F156" i="7"/>
  <c r="F72" i="4" s="1"/>
  <c r="F157" i="7"/>
  <c r="F299" i="4" s="1"/>
  <c r="F299" i="3" s="1"/>
  <c r="F158" i="7"/>
  <c r="F300" i="4" s="1"/>
  <c r="F159" i="7"/>
  <c r="F301" i="4" s="1"/>
  <c r="F160" i="7"/>
  <c r="F302" i="4" s="1"/>
  <c r="F161" i="7"/>
  <c r="F303" i="4" s="1"/>
  <c r="F303" i="3" s="1"/>
  <c r="F162" i="7"/>
  <c r="F304" i="4" s="1"/>
  <c r="F304" i="3" s="1"/>
  <c r="F163" i="7"/>
  <c r="F306" i="4" s="1"/>
  <c r="F164" i="7"/>
  <c r="F307" i="4" s="1"/>
  <c r="F165" i="7"/>
  <c r="F308" i="4" s="1"/>
  <c r="F166" i="7"/>
  <c r="F309" i="4" s="1"/>
  <c r="F168" i="7"/>
  <c r="F311" i="4" s="1"/>
  <c r="F169" i="7"/>
  <c r="F313" i="4" s="1"/>
  <c r="F170" i="7"/>
  <c r="F314" i="4" s="1"/>
  <c r="F171" i="7"/>
  <c r="F315" i="4" s="1"/>
  <c r="F172" i="7"/>
  <c r="F167" i="6" s="1"/>
  <c r="F177" i="7"/>
  <c r="F80" i="4" s="1"/>
  <c r="F80" i="3" s="1"/>
  <c r="F178" i="7"/>
  <c r="F179" i="7"/>
  <c r="F174" i="6" s="1"/>
  <c r="F180" i="7"/>
  <c r="F181" i="7"/>
  <c r="F182" i="7"/>
  <c r="F178" i="6" s="1"/>
  <c r="F184" i="7"/>
  <c r="F180" i="6" s="1"/>
  <c r="F185" i="7"/>
  <c r="F181" i="6" s="1"/>
  <c r="F186" i="7"/>
  <c r="F182" i="6" s="1"/>
  <c r="F187" i="7"/>
  <c r="F183" i="6" s="1"/>
  <c r="F189" i="7"/>
  <c r="F185" i="6" s="1"/>
  <c r="F190" i="7"/>
  <c r="F186" i="6" s="1"/>
  <c r="F191" i="7"/>
  <c r="F145" i="4" s="1"/>
  <c r="F145" i="3" s="1"/>
  <c r="F192" i="7"/>
  <c r="F188" i="6" s="1"/>
  <c r="F193" i="7"/>
  <c r="F195" i="7"/>
  <c r="F196" i="7"/>
  <c r="F197" i="7"/>
  <c r="F198" i="7"/>
  <c r="F146" i="4" s="1"/>
  <c r="F146" i="3" s="1"/>
  <c r="F199" i="7"/>
  <c r="F78" i="4" s="1"/>
  <c r="F78" i="3" s="1"/>
  <c r="F200" i="7"/>
  <c r="F144" i="4" s="1"/>
  <c r="F144" i="3" s="1"/>
  <c r="F201" i="7"/>
  <c r="F197" i="6" s="1"/>
  <c r="F202" i="7"/>
  <c r="F192" i="6" s="1"/>
  <c r="F204" i="7"/>
  <c r="F194" i="6" s="1"/>
  <c r="F207" i="7"/>
  <c r="F143" i="4" s="1"/>
  <c r="F143" i="3" s="1"/>
  <c r="F208" i="7"/>
  <c r="F218" i="7"/>
  <c r="F220" i="7"/>
  <c r="F222" i="7"/>
  <c r="F223" i="7"/>
  <c r="F224" i="7"/>
  <c r="F226" i="7"/>
  <c r="F227" i="7"/>
  <c r="F229" i="7"/>
  <c r="F230" i="7"/>
  <c r="F231" i="7"/>
  <c r="F232" i="7"/>
  <c r="F233" i="7"/>
  <c r="F234" i="7"/>
  <c r="F236" i="7"/>
  <c r="F237" i="7"/>
  <c r="F238" i="7"/>
  <c r="F239" i="7"/>
  <c r="F240" i="7"/>
  <c r="F241" i="7"/>
  <c r="F243" i="7"/>
  <c r="F244" i="7"/>
  <c r="F248" i="7"/>
  <c r="F250" i="7"/>
  <c r="F30" i="1"/>
  <c r="F117" i="1"/>
  <c r="F21" i="1"/>
  <c r="F33" i="1"/>
  <c r="F139" i="1"/>
  <c r="F216" i="1"/>
  <c r="F71" i="1"/>
  <c r="F87" i="1"/>
  <c r="F98" i="1"/>
  <c r="F98" i="4" s="1"/>
  <c r="F183" i="1"/>
  <c r="F105" i="1"/>
  <c r="F97" i="4" s="1"/>
  <c r="F114" i="1"/>
  <c r="F167" i="1"/>
  <c r="F99" i="1"/>
  <c r="F157" i="4" s="1"/>
  <c r="F118" i="1"/>
  <c r="F124" i="1"/>
  <c r="F41" i="1"/>
  <c r="F166" i="1"/>
  <c r="F155" i="1"/>
  <c r="F50" i="1"/>
  <c r="F81" i="4" s="1"/>
  <c r="F186" i="1"/>
  <c r="F211" i="1"/>
  <c r="F121" i="4" s="1"/>
  <c r="F222" i="1"/>
  <c r="F233" i="1"/>
  <c r="F53" i="4" s="1"/>
  <c r="F65" i="2" l="1"/>
  <c r="F104" i="1" s="1"/>
  <c r="F214" i="4"/>
  <c r="F125" i="4"/>
  <c r="F55" i="2"/>
  <c r="F83" i="1" s="1"/>
  <c r="F108" i="4" s="1"/>
  <c r="F42" i="3"/>
  <c r="F29" i="2" s="1"/>
  <c r="F162" i="1" s="1"/>
  <c r="F185" i="4"/>
  <c r="F34" i="6"/>
  <c r="K173" i="4"/>
  <c r="K173" i="3" s="1"/>
  <c r="K320" i="4"/>
  <c r="K288" i="4"/>
  <c r="K288" i="3" s="1"/>
  <c r="K268" i="4"/>
  <c r="K268" i="3" s="1"/>
  <c r="K174" i="4"/>
  <c r="K174" i="3" s="1"/>
  <c r="K38" i="4"/>
  <c r="K38" i="3" s="1"/>
  <c r="K25" i="2" s="1"/>
  <c r="K38" i="1" s="1"/>
  <c r="K166" i="4"/>
  <c r="K29" i="4"/>
  <c r="K29" i="3" s="1"/>
  <c r="K302" i="4"/>
  <c r="K302" i="3" s="1"/>
  <c r="K164" i="4"/>
  <c r="K301" i="4"/>
  <c r="K301" i="3" s="1"/>
  <c r="K17" i="4"/>
  <c r="K17" i="3" s="1"/>
  <c r="K14" i="2" s="1"/>
  <c r="K17" i="1" s="1"/>
  <c r="K143" i="4"/>
  <c r="K143" i="3" s="1"/>
  <c r="K46" i="4"/>
  <c r="K46" i="3" s="1"/>
  <c r="K291" i="4"/>
  <c r="K291" i="3" s="1"/>
  <c r="K163" i="4"/>
  <c r="K37" i="4"/>
  <c r="K37" i="3" s="1"/>
  <c r="K290" i="4"/>
  <c r="K290" i="3" s="1"/>
  <c r="K162" i="4"/>
  <c r="K23" i="4"/>
  <c r="K23" i="3" s="1"/>
  <c r="K297" i="4"/>
  <c r="K297" i="3" s="1"/>
  <c r="K161" i="4"/>
  <c r="K161" i="3" s="1"/>
  <c r="K169" i="4"/>
  <c r="K169" i="3" s="1"/>
  <c r="K168" i="4"/>
  <c r="K168" i="3" s="1"/>
  <c r="K31" i="4"/>
  <c r="K31" i="3" s="1"/>
  <c r="K20" i="3"/>
  <c r="K16" i="2" s="1"/>
  <c r="K20" i="1" s="1"/>
  <c r="K117" i="3"/>
  <c r="K164" i="3"/>
  <c r="K91" i="3"/>
  <c r="K58" i="2" s="1"/>
  <c r="K183" i="1" s="1"/>
  <c r="K52" i="3"/>
  <c r="K37" i="2" s="1"/>
  <c r="K52" i="1" s="1"/>
  <c r="K163" i="3"/>
  <c r="K119" i="3"/>
  <c r="K74" i="2" s="1"/>
  <c r="K119" i="1" s="1"/>
  <c r="K162" i="3"/>
  <c r="K139" i="3"/>
  <c r="K155" i="3"/>
  <c r="K44" i="3"/>
  <c r="K31" i="2" s="1"/>
  <c r="K44" i="1" s="1"/>
  <c r="K124" i="3"/>
  <c r="F54" i="2"/>
  <c r="F82" i="1" s="1"/>
  <c r="F60" i="2"/>
  <c r="F94" i="1" s="1"/>
  <c r="F94" i="4" s="1"/>
  <c r="F103" i="2"/>
  <c r="F209" i="1" s="1"/>
  <c r="F209" i="4" s="1"/>
  <c r="K46" i="2"/>
  <c r="K64" i="1" s="1"/>
  <c r="K72" i="2"/>
  <c r="K45" i="1"/>
  <c r="K40" i="1"/>
  <c r="K139" i="1"/>
  <c r="K22" i="1"/>
  <c r="K164" i="1"/>
  <c r="K163" i="1"/>
  <c r="F58" i="2"/>
  <c r="F91" i="1" s="1"/>
  <c r="F16" i="2"/>
  <c r="F20" i="1" s="1"/>
  <c r="F79" i="4" s="1"/>
  <c r="F139" i="2"/>
  <c r="F10" i="2"/>
  <c r="F12" i="1" s="1"/>
  <c r="F101" i="2"/>
  <c r="F207" i="1" s="1"/>
  <c r="F78" i="2"/>
  <c r="F128" i="1" s="1"/>
  <c r="F70" i="2"/>
  <c r="F113" i="1" s="1"/>
  <c r="F24" i="4" s="1"/>
  <c r="F47" i="2"/>
  <c r="F65" i="1" s="1"/>
  <c r="F81" i="2"/>
  <c r="F176" i="1" s="1"/>
  <c r="F20" i="2"/>
  <c r="F25" i="1" s="1"/>
  <c r="F38" i="2"/>
  <c r="F54" i="1" s="1"/>
  <c r="F77" i="2"/>
  <c r="F126" i="1" s="1"/>
  <c r="F192" i="4"/>
  <c r="F101" i="3"/>
  <c r="F192" i="3"/>
  <c r="F190" i="4"/>
  <c r="F44" i="2"/>
  <c r="F62" i="1" s="1"/>
  <c r="F42" i="2"/>
  <c r="F58" i="1" s="1"/>
  <c r="F74" i="2"/>
  <c r="F119" i="1" s="1"/>
  <c r="F7" i="2"/>
  <c r="F7" i="1" s="1"/>
  <c r="F18" i="2"/>
  <c r="F22" i="1" s="1"/>
  <c r="F89" i="2"/>
  <c r="F189" i="1" s="1"/>
  <c r="F101" i="4"/>
  <c r="F4" i="2"/>
  <c r="F4" i="1" s="1"/>
  <c r="F90" i="4" s="1"/>
  <c r="F201" i="3"/>
  <c r="F74" i="3"/>
  <c r="F75" i="3"/>
  <c r="F114" i="2"/>
  <c r="F221" i="1" s="1"/>
  <c r="F91" i="2"/>
  <c r="F194" i="1" s="1"/>
  <c r="F214" i="3"/>
  <c r="F98" i="3"/>
  <c r="F75" i="2"/>
  <c r="F120" i="1" s="1"/>
  <c r="F148" i="2"/>
  <c r="F8" i="2"/>
  <c r="F8" i="1" s="1"/>
  <c r="F204" i="4" s="1"/>
  <c r="F9" i="2"/>
  <c r="F10" i="1" s="1"/>
  <c r="F35" i="2"/>
  <c r="F49" i="1" s="1"/>
  <c r="F99" i="2"/>
  <c r="F205" i="1" s="1"/>
  <c r="F27" i="4" s="1"/>
  <c r="F137" i="2"/>
  <c r="F26" i="2"/>
  <c r="F39" i="1" s="1"/>
  <c r="F51" i="2"/>
  <c r="F70" i="1" s="1"/>
  <c r="F123" i="2"/>
  <c r="F230" i="1" s="1"/>
  <c r="F13" i="2"/>
  <c r="F16" i="1" s="1"/>
  <c r="F112" i="2"/>
  <c r="F219" i="1" s="1"/>
  <c r="F83" i="2"/>
  <c r="F181" i="1" s="1"/>
  <c r="F136" i="4" s="1"/>
  <c r="F53" i="2"/>
  <c r="F77" i="1" s="1"/>
  <c r="F135" i="4" s="1"/>
  <c r="F90" i="2"/>
  <c r="F191" i="1" s="1"/>
  <c r="F140" i="4" s="1"/>
  <c r="F134" i="2"/>
  <c r="F142" i="2"/>
  <c r="F135" i="6"/>
  <c r="F198" i="6"/>
  <c r="F81" i="6"/>
  <c r="F2" i="4"/>
  <c r="F2" i="3" s="1"/>
  <c r="F15" i="2" s="1"/>
  <c r="F18" i="1" s="1"/>
  <c r="F264" i="4"/>
  <c r="F264" i="3" s="1"/>
  <c r="F237" i="4"/>
  <c r="F237" i="3" s="1"/>
  <c r="F130" i="2" s="1"/>
  <c r="F237" i="1" s="1"/>
  <c r="F4" i="6"/>
  <c r="F223" i="4"/>
  <c r="F223" i="3" s="1"/>
  <c r="F34" i="2" s="1"/>
  <c r="F48" i="1" s="1"/>
  <c r="F147" i="4"/>
  <c r="F147" i="3" s="1"/>
  <c r="F62" i="6"/>
  <c r="F153" i="6"/>
  <c r="F118" i="6"/>
  <c r="F56" i="6"/>
  <c r="F28" i="6"/>
  <c r="F296" i="4"/>
  <c r="F296" i="3" s="1"/>
  <c r="F280" i="4"/>
  <c r="F280" i="3" s="1"/>
  <c r="F208" i="4"/>
  <c r="F208" i="3" s="1"/>
  <c r="F116" i="6"/>
  <c r="F101" i="6"/>
  <c r="F20" i="6"/>
  <c r="F196" i="4"/>
  <c r="F196" i="3" s="1"/>
  <c r="F119" i="2" s="1"/>
  <c r="F226" i="1" s="1"/>
  <c r="F129" i="6"/>
  <c r="F145" i="6"/>
  <c r="F288" i="4"/>
  <c r="F288" i="3" s="1"/>
  <c r="F90" i="6"/>
  <c r="F50" i="6"/>
  <c r="F12" i="6"/>
  <c r="F316" i="4"/>
  <c r="F272" i="4"/>
  <c r="F272" i="3" s="1"/>
  <c r="F200" i="6"/>
  <c r="F140" i="6"/>
  <c r="F83" i="6"/>
  <c r="F48" i="6"/>
  <c r="F10" i="6"/>
  <c r="F18" i="6"/>
  <c r="F124" i="4"/>
  <c r="F124" i="3" s="1"/>
  <c r="F141" i="2" s="1"/>
  <c r="F201" i="6"/>
  <c r="F163" i="6"/>
  <c r="F146" i="6"/>
  <c r="F138" i="6"/>
  <c r="F130" i="6"/>
  <c r="F94" i="6"/>
  <c r="F84" i="6"/>
  <c r="F72" i="6"/>
  <c r="F64" i="6"/>
  <c r="F51" i="6"/>
  <c r="F37" i="6"/>
  <c r="F21" i="6"/>
  <c r="F13" i="6"/>
  <c r="F5" i="6"/>
  <c r="F291" i="4"/>
  <c r="F267" i="4"/>
  <c r="F267" i="3" s="1"/>
  <c r="F228" i="4"/>
  <c r="F228" i="3" s="1"/>
  <c r="F11" i="2" s="1"/>
  <c r="F14" i="1" s="1"/>
  <c r="F130" i="4" s="1"/>
  <c r="F213" i="4"/>
  <c r="F213" i="3" s="1"/>
  <c r="F122" i="2" s="1"/>
  <c r="F229" i="1" s="1"/>
  <c r="F200" i="4"/>
  <c r="F200" i="3" s="1"/>
  <c r="F106" i="2" s="1"/>
  <c r="F212" i="1" s="1"/>
  <c r="F187" i="4"/>
  <c r="F187" i="3" s="1"/>
  <c r="F12" i="2" s="1"/>
  <c r="F15" i="1" s="1"/>
  <c r="F172" i="4"/>
  <c r="F163" i="4"/>
  <c r="F67" i="4"/>
  <c r="F67" i="3" s="1"/>
  <c r="F46" i="4"/>
  <c r="F50" i="3" s="1"/>
  <c r="F38" i="4"/>
  <c r="F6" i="4"/>
  <c r="F6" i="3" s="1"/>
  <c r="F108" i="2" s="1"/>
  <c r="F215" i="1" s="1"/>
  <c r="F151" i="4" s="1"/>
  <c r="F290" i="4"/>
  <c r="F274" i="4"/>
  <c r="F274" i="3" s="1"/>
  <c r="F266" i="4"/>
  <c r="F266" i="3" s="1"/>
  <c r="F211" i="4"/>
  <c r="F211" i="3" s="1"/>
  <c r="F112" i="4"/>
  <c r="F112" i="3" s="1"/>
  <c r="F143" i="2" s="1"/>
  <c r="F96" i="4"/>
  <c r="F96" i="3" s="1"/>
  <c r="F133" i="2" s="1"/>
  <c r="F66" i="4"/>
  <c r="F66" i="3" s="1"/>
  <c r="F64" i="2" s="1"/>
  <c r="F103" i="1" s="1"/>
  <c r="F85" i="4" s="1"/>
  <c r="F45" i="4"/>
  <c r="F164" i="3" s="1"/>
  <c r="F37" i="4"/>
  <c r="F137" i="6"/>
  <c r="F93" i="6"/>
  <c r="F36" i="6"/>
  <c r="F207" i="6"/>
  <c r="F172" i="6"/>
  <c r="F160" i="6"/>
  <c r="F152" i="6"/>
  <c r="F144" i="6"/>
  <c r="F117" i="6"/>
  <c r="F108" i="6"/>
  <c r="F91" i="6"/>
  <c r="F82" i="6"/>
  <c r="F70" i="6"/>
  <c r="F58" i="6"/>
  <c r="F49" i="6"/>
  <c r="F35" i="6"/>
  <c r="F27" i="6"/>
  <c r="F19" i="6"/>
  <c r="F11" i="6"/>
  <c r="F3" i="6"/>
  <c r="F297" i="4"/>
  <c r="F72" i="3" s="1"/>
  <c r="F273" i="4"/>
  <c r="F273" i="3" s="1"/>
  <c r="F265" i="4"/>
  <c r="F265" i="3" s="1"/>
  <c r="F210" i="4"/>
  <c r="F210" i="3" s="1"/>
  <c r="F124" i="2" s="1"/>
  <c r="F231" i="1" s="1"/>
  <c r="F197" i="4"/>
  <c r="F197" i="3" s="1"/>
  <c r="F39" i="2" s="1"/>
  <c r="F55" i="1" s="1"/>
  <c r="F161" i="4"/>
  <c r="F21" i="3" s="1"/>
  <c r="F76" i="4"/>
  <c r="F302" i="3" s="1"/>
  <c r="F44" i="4"/>
  <c r="F44" i="3" s="1"/>
  <c r="F50" i="2" s="1"/>
  <c r="F68" i="1" s="1"/>
  <c r="F35" i="4"/>
  <c r="F23" i="4"/>
  <c r="F89" i="3" s="1"/>
  <c r="F43" i="4"/>
  <c r="F43" i="3" s="1"/>
  <c r="F34" i="4"/>
  <c r="F13" i="4"/>
  <c r="F13" i="3" s="1"/>
  <c r="F79" i="2" s="1"/>
  <c r="F134" i="1" s="1"/>
  <c r="F107" i="4"/>
  <c r="F107" i="3" s="1"/>
  <c r="F142" i="6"/>
  <c r="F134" i="6"/>
  <c r="F106" i="6"/>
  <c r="F98" i="6"/>
  <c r="F89" i="6"/>
  <c r="F68" i="6"/>
  <c r="F33" i="6"/>
  <c r="F17" i="6"/>
  <c r="F9" i="6"/>
  <c r="F321" i="4"/>
  <c r="F295" i="4"/>
  <c r="F279" i="4"/>
  <c r="F279" i="3" s="1"/>
  <c r="F271" i="4"/>
  <c r="F271" i="3" s="1"/>
  <c r="F235" i="4"/>
  <c r="F235" i="3" s="1"/>
  <c r="F96" i="2" s="1"/>
  <c r="F199" i="1" s="1"/>
  <c r="F193" i="4" s="1"/>
  <c r="F195" i="4"/>
  <c r="F195" i="3" s="1"/>
  <c r="F59" i="2" s="1"/>
  <c r="F93" i="1" s="1"/>
  <c r="F168" i="4"/>
  <c r="F63" i="4"/>
  <c r="F63" i="3" s="1"/>
  <c r="F40" i="2" s="1"/>
  <c r="F56" i="1" s="1"/>
  <c r="F52" i="4"/>
  <c r="F52" i="3" s="1"/>
  <c r="F33" i="4"/>
  <c r="F33" i="3" s="1"/>
  <c r="F118" i="2" s="1"/>
  <c r="F225" i="1" s="1"/>
  <c r="F196" i="6"/>
  <c r="F187" i="6"/>
  <c r="F149" i="6"/>
  <c r="F133" i="6"/>
  <c r="F105" i="6"/>
  <c r="F67" i="6"/>
  <c r="F32" i="6"/>
  <c r="F24" i="6"/>
  <c r="F8" i="6"/>
  <c r="F294" i="4"/>
  <c r="F294" i="3" s="1"/>
  <c r="F270" i="4"/>
  <c r="F206" i="4"/>
  <c r="F206" i="3" s="1"/>
  <c r="F175" i="4"/>
  <c r="F175" i="3" s="1"/>
  <c r="F167" i="4"/>
  <c r="F167" i="3" s="1"/>
  <c r="F26" i="6"/>
  <c r="F203" i="6"/>
  <c r="F132" i="6"/>
  <c r="F96" i="6"/>
  <c r="F66" i="6"/>
  <c r="F15" i="6"/>
  <c r="F7" i="6"/>
  <c r="F174" i="4"/>
  <c r="F300" i="3" s="1"/>
  <c r="F86" i="4"/>
  <c r="F86" i="3" s="1"/>
  <c r="F131" i="2" s="1"/>
  <c r="F238" i="1" s="1"/>
  <c r="F30" i="4"/>
  <c r="F30" i="3" s="1"/>
  <c r="F82" i="2" s="1"/>
  <c r="F180" i="1" s="1"/>
  <c r="F103" i="6"/>
  <c r="F65" i="6"/>
  <c r="F14" i="6"/>
  <c r="F166" i="3"/>
  <c r="F173" i="3"/>
  <c r="F29" i="3"/>
  <c r="F290" i="3"/>
  <c r="F162" i="3"/>
  <c r="F169" i="3"/>
  <c r="F31" i="3"/>
  <c r="F67" i="1"/>
  <c r="F158" i="4" s="1"/>
  <c r="F163" i="3" l="1"/>
  <c r="F35" i="3"/>
  <c r="F46" i="2" s="1"/>
  <c r="F64" i="1" s="1"/>
  <c r="F172" i="3"/>
  <c r="F270" i="3"/>
  <c r="F170" i="3"/>
  <c r="F212" i="4"/>
  <c r="F132" i="4"/>
  <c r="F161" i="3"/>
  <c r="F297" i="3"/>
  <c r="F76" i="3"/>
  <c r="K156" i="3"/>
  <c r="F45" i="3"/>
  <c r="F21" i="2" s="1"/>
  <c r="F28" i="1" s="1"/>
  <c r="K109" i="2"/>
  <c r="K91" i="1"/>
  <c r="K216" i="1"/>
  <c r="K166" i="1"/>
  <c r="F88" i="2"/>
  <c r="F187" i="1" s="1"/>
  <c r="F32" i="4" s="1"/>
  <c r="F31" i="1"/>
  <c r="F201" i="4" s="1"/>
  <c r="K124" i="1"/>
  <c r="F61" i="2"/>
  <c r="F96" i="1" s="1"/>
  <c r="F42" i="1"/>
  <c r="F93" i="2"/>
  <c r="F196" i="1" s="1"/>
  <c r="F14" i="2"/>
  <c r="F13" i="1" s="1"/>
  <c r="F45" i="2"/>
  <c r="F63" i="1" s="1"/>
  <c r="F56" i="2"/>
  <c r="F86" i="1" s="1"/>
  <c r="F107" i="2"/>
  <c r="F213" i="1" s="1"/>
  <c r="F102" i="2"/>
  <c r="F208" i="1" s="1"/>
  <c r="F92" i="2"/>
  <c r="F195" i="1" s="1"/>
  <c r="F141" i="4" s="1"/>
  <c r="F24" i="2"/>
  <c r="F128" i="2"/>
  <c r="F235" i="1" s="1"/>
  <c r="F31" i="2"/>
  <c r="F100" i="2"/>
  <c r="F206" i="1" s="1"/>
  <c r="F116" i="2"/>
  <c r="F223" i="1" s="1"/>
  <c r="F121" i="2"/>
  <c r="F228" i="1" s="1"/>
  <c r="F2" i="2"/>
  <c r="F2" i="1" s="1"/>
  <c r="F67" i="2"/>
  <c r="F107" i="1" s="1"/>
  <c r="F69" i="2"/>
  <c r="F112" i="1" s="1"/>
  <c r="F97" i="2"/>
  <c r="F200" i="1" s="1"/>
  <c r="F37" i="2"/>
  <c r="F52" i="1" s="1"/>
  <c r="F48" i="2"/>
  <c r="F66" i="1" s="1"/>
  <c r="F149" i="4" s="1"/>
  <c r="F94" i="2"/>
  <c r="F197" i="1" s="1"/>
  <c r="F174" i="3"/>
  <c r="F17" i="3"/>
  <c r="F301" i="3"/>
  <c r="F268" i="3"/>
  <c r="F46" i="3"/>
  <c r="F30" i="2" s="1"/>
  <c r="F43" i="1" s="1"/>
  <c r="F23" i="3"/>
  <c r="F38" i="3"/>
  <c r="F40" i="3"/>
  <c r="F37" i="3"/>
  <c r="F168" i="3"/>
  <c r="F291" i="3"/>
  <c r="F25" i="2" l="1"/>
  <c r="F38" i="1" s="1"/>
  <c r="F115" i="4" s="1"/>
  <c r="F17" i="1"/>
  <c r="F179" i="4" s="1"/>
  <c r="F32" i="2"/>
  <c r="F45" i="1" s="1"/>
  <c r="F29" i="1"/>
  <c r="F34" i="1"/>
  <c r="F36" i="4" s="1"/>
  <c r="F80" i="2"/>
  <c r="F159" i="1" s="1"/>
  <c r="F27" i="2"/>
  <c r="F68" i="2"/>
  <c r="F111" i="1" s="1"/>
  <c r="F19" i="2"/>
  <c r="F44" i="1"/>
  <c r="F127" i="4" s="1"/>
  <c r="F163" i="1"/>
  <c r="F35" i="1" l="1"/>
  <c r="F164" i="1"/>
  <c r="F23" i="1"/>
  <c r="F89" i="1"/>
  <c r="F82" i="4" s="1"/>
  <c r="F37" i="1"/>
  <c r="F40" i="1"/>
  <c r="K2" i="4"/>
  <c r="K2" i="3" s="1"/>
  <c r="K2" i="2" s="1"/>
  <c r="K2" i="1" s="1"/>
  <c r="F92" i="4"/>
  <c r="F11" i="4"/>
  <c r="F129" i="2"/>
  <c r="F236" i="1"/>
  <c r="F236" i="3"/>
  <c r="F234" i="3"/>
  <c r="F127" i="2"/>
  <c r="F234" i="1"/>
  <c r="F227" i="1"/>
  <c r="F227" i="3"/>
  <c r="F120" i="2"/>
  <c r="F198" i="4"/>
  <c r="F95" i="2"/>
  <c r="F198" i="1"/>
  <c r="F198" i="3"/>
  <c r="F239" i="3"/>
  <c r="F132" i="2"/>
  <c r="F239" i="1"/>
  <c r="F220" i="3"/>
  <c r="F113" i="2"/>
  <c r="F220" i="1"/>
  <c r="F220" i="4"/>
  <c r="F217" i="3"/>
  <c r="F110" i="2"/>
  <c r="F217" i="1"/>
  <c r="F217" i="4"/>
  <c r="F184" i="1"/>
  <c r="F184" i="3"/>
  <c r="F85" i="2"/>
  <c r="F218" i="3"/>
  <c r="F111" i="2"/>
  <c r="F218" i="1"/>
  <c r="F218" i="4"/>
  <c r="F232" i="1"/>
  <c r="F232" i="3"/>
  <c r="F125" i="2"/>
  <c r="F224" i="3"/>
  <c r="F117" i="2"/>
  <c r="F224" i="1"/>
  <c r="F22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<sst xmlns="http://schemas.openxmlformats.org/spreadsheetml/2006/main" count="7718" uniqueCount="605">
  <si>
    <t>Sr. No.</t>
  </si>
  <si>
    <t>User ID</t>
  </si>
  <si>
    <t>Emp. Name</t>
  </si>
  <si>
    <t>Department</t>
  </si>
  <si>
    <t>Designation</t>
  </si>
  <si>
    <t>Gross salary</t>
  </si>
  <si>
    <t>In Hand Salary</t>
  </si>
  <si>
    <t>Chanda Ji</t>
  </si>
  <si>
    <t>Eyelet Marker</t>
  </si>
  <si>
    <t>Surendra Bairwa</t>
  </si>
  <si>
    <t>Executive</t>
  </si>
  <si>
    <t>Harkesh Kumar Bairwa</t>
  </si>
  <si>
    <t>Cutting Master</t>
  </si>
  <si>
    <t>Mohd. Shoyeb Rangrej</t>
  </si>
  <si>
    <t>Mohamad Faizal</t>
  </si>
  <si>
    <t>Rizwan Ali Khan</t>
  </si>
  <si>
    <t>Tehseenul Islam Siddque</t>
  </si>
  <si>
    <t>Merchandiser</t>
  </si>
  <si>
    <t>Rajendra Prasad Vijay</t>
  </si>
  <si>
    <t>Senior Accountant</t>
  </si>
  <si>
    <t>Pankaj</t>
  </si>
  <si>
    <t>Final Checker</t>
  </si>
  <si>
    <t xml:space="preserve">Ravi Panchal </t>
  </si>
  <si>
    <t xml:space="preserve">SKU checker </t>
  </si>
  <si>
    <t>Chandrakanta Meher</t>
  </si>
  <si>
    <t>Rupesh Kumar Jha</t>
  </si>
  <si>
    <t>Jr. Accountant</t>
  </si>
  <si>
    <t>Abhishek Saini</t>
  </si>
  <si>
    <t>HR Manager</t>
  </si>
  <si>
    <t>Lokesh Sharma</t>
  </si>
  <si>
    <t>Rajesh Sharma</t>
  </si>
  <si>
    <t>Office Boy</t>
  </si>
  <si>
    <t>Yashodatt Sharma</t>
  </si>
  <si>
    <t>Fabric Checker</t>
  </si>
  <si>
    <t>Omprakash Yogi</t>
  </si>
  <si>
    <t>Checker</t>
  </si>
  <si>
    <t>Naveen Bhaskar</t>
  </si>
  <si>
    <t>Surendra K.  Bairwa</t>
  </si>
  <si>
    <t>Govind Sharma</t>
  </si>
  <si>
    <t>Naresh Kumar Bairwa</t>
  </si>
  <si>
    <t>Sonu Bairwa</t>
  </si>
  <si>
    <t>Supervisior</t>
  </si>
  <si>
    <t>Manager</t>
  </si>
  <si>
    <t>Anil Kumar</t>
  </si>
  <si>
    <t>Ravi Kumar Bairwa (Tatawat)</t>
  </si>
  <si>
    <t>Chandra Shekhar Sharma</t>
  </si>
  <si>
    <t>Nupur Pawar</t>
  </si>
  <si>
    <t>Textile Designer</t>
  </si>
  <si>
    <t>Asim Shoyab Khan</t>
  </si>
  <si>
    <t>Amit Pareek</t>
  </si>
  <si>
    <t xml:space="preserve"> Manager</t>
  </si>
  <si>
    <t xml:space="preserve">Peeyush Pareek </t>
  </si>
  <si>
    <t>Rahul Yogi</t>
  </si>
  <si>
    <t>Helper</t>
  </si>
  <si>
    <t>Bheema Ram Bairwa</t>
  </si>
  <si>
    <t>Computer Operator</t>
  </si>
  <si>
    <t>Shaitan Singh</t>
  </si>
  <si>
    <t>Chakshita Maheshwari</t>
  </si>
  <si>
    <t>Graphic Designer</t>
  </si>
  <si>
    <t>Yuvraj Singh Sisodiya</t>
  </si>
  <si>
    <t>Sumer singh Jatav</t>
  </si>
  <si>
    <t>Press man</t>
  </si>
  <si>
    <t>Ashok Yogi</t>
  </si>
  <si>
    <t>Karishma Kaityar</t>
  </si>
  <si>
    <t>Senior Executive</t>
  </si>
  <si>
    <t>Surajmal Prajapati</t>
  </si>
  <si>
    <t>Padmawati</t>
  </si>
  <si>
    <t>Tailor</t>
  </si>
  <si>
    <t>Foranti</t>
  </si>
  <si>
    <t>Sonu Bairwa Tailor</t>
  </si>
  <si>
    <t>Raji Devi</t>
  </si>
  <si>
    <t>Laxman</t>
  </si>
  <si>
    <t>Dilip</t>
  </si>
  <si>
    <t>Indar Saini</t>
  </si>
  <si>
    <t>Furqan Hameed</t>
  </si>
  <si>
    <t>Riddhi Gupta</t>
  </si>
  <si>
    <t>Customer Relatioship Executive</t>
  </si>
  <si>
    <t>Safina Khan</t>
  </si>
  <si>
    <t>Gulbatti Meena</t>
  </si>
  <si>
    <t>Abhishek Bairwa</t>
  </si>
  <si>
    <t>Manish Kumar Bairwa</t>
  </si>
  <si>
    <t>Yogendra</t>
  </si>
  <si>
    <t>Cutting master</t>
  </si>
  <si>
    <t>Ramswaroop</t>
  </si>
  <si>
    <t>Chhaju Lal Saini</t>
  </si>
  <si>
    <t>Mahendra Gurjer</t>
  </si>
  <si>
    <t>Jitendra Sharma</t>
  </si>
  <si>
    <t>Santara</t>
  </si>
  <si>
    <t>SWEEPER</t>
  </si>
  <si>
    <t>Rohitash Kumar</t>
  </si>
  <si>
    <t>Karan Mehara</t>
  </si>
  <si>
    <t>Subash Bairwa</t>
  </si>
  <si>
    <t>Ramavtar sharma</t>
  </si>
  <si>
    <t>Guard</t>
  </si>
  <si>
    <t>Jitendra Bairwa</t>
  </si>
  <si>
    <t>Vikash Bairwa</t>
  </si>
  <si>
    <t>Asharam Bairwa</t>
  </si>
  <si>
    <t>Manjeet Sain</t>
  </si>
  <si>
    <t>Mohan lal Bairwa</t>
  </si>
  <si>
    <t>Rahul Bairwa</t>
  </si>
  <si>
    <t>Naresh K Bairwa</t>
  </si>
  <si>
    <t>Raju Lal Bairwa</t>
  </si>
  <si>
    <t>Kaptaan Singh</t>
  </si>
  <si>
    <t>Vibhav Kulshreshtha</t>
  </si>
  <si>
    <t>Laxman Gothwal</t>
  </si>
  <si>
    <t>Deshraj Meena</t>
  </si>
  <si>
    <t>Chiranji Lal Meena</t>
  </si>
  <si>
    <t xml:space="preserve">Siyaram </t>
  </si>
  <si>
    <t>Mahendra Sharma</t>
  </si>
  <si>
    <t>Tara Chand Meena</t>
  </si>
  <si>
    <t>Manish Yogi</t>
  </si>
  <si>
    <t>Jitendra Kumar Jatav</t>
  </si>
  <si>
    <t>Golu Bairwa</t>
  </si>
  <si>
    <t>Ganesh Meena</t>
  </si>
  <si>
    <t>Jitu Yogi</t>
  </si>
  <si>
    <t>Dyasankar Rav</t>
  </si>
  <si>
    <t>Rajkumar Mahawar</t>
  </si>
  <si>
    <t>Surendra Tailor</t>
  </si>
  <si>
    <t>Feliram Bairwa</t>
  </si>
  <si>
    <t>Malkhan  Khalwal</t>
  </si>
  <si>
    <t>Hajari Lal</t>
  </si>
  <si>
    <t>Kirshan Kumar Bairwa</t>
  </si>
  <si>
    <t>Vikash Kumar</t>
  </si>
  <si>
    <t>Tikkam Singh</t>
  </si>
  <si>
    <t>Ehsaan Khan</t>
  </si>
  <si>
    <t>Vijay Kumar</t>
  </si>
  <si>
    <t>Narendra Kumar Mahawar</t>
  </si>
  <si>
    <t>Suresh Sharma</t>
  </si>
  <si>
    <t>Ravi Kumar Raigar</t>
  </si>
  <si>
    <t>Sakuntala Bairwa</t>
  </si>
  <si>
    <t>Marking</t>
  </si>
  <si>
    <t>Mithta Lal Bairwa</t>
  </si>
  <si>
    <t>Upendra Bairwa</t>
  </si>
  <si>
    <t>Sonu Meena</t>
  </si>
  <si>
    <t>Ganesh Kumhar</t>
  </si>
  <si>
    <t>Cutting Helper</t>
  </si>
  <si>
    <t>Hanuman Sahay Prajapat</t>
  </si>
  <si>
    <t>Pawan Prajapat</t>
  </si>
  <si>
    <t>Jabid Husen</t>
  </si>
  <si>
    <t>Ramesh Chand Meena</t>
  </si>
  <si>
    <t>Saddam Hussain</t>
  </si>
  <si>
    <t>Asha Ram Yogi</t>
  </si>
  <si>
    <t>Kalu Ram Bairwa</t>
  </si>
  <si>
    <t>Satish Kumar Bairwa</t>
  </si>
  <si>
    <t>Ritu Devi</t>
  </si>
  <si>
    <t>Vinod Kumar Bairwa</t>
  </si>
  <si>
    <t>Ashutosh Bairwa</t>
  </si>
  <si>
    <t>Rajkumari Tailor</t>
  </si>
  <si>
    <t>Baby Parveen</t>
  </si>
  <si>
    <t>Jesmine</t>
  </si>
  <si>
    <t>Sheru Kumar</t>
  </si>
  <si>
    <t>Kamlesh Meena</t>
  </si>
  <si>
    <t>Santosh Devi</t>
  </si>
  <si>
    <t>Dinesh Kumar Bairwa</t>
  </si>
  <si>
    <t>Ravindra Kumar Bairwa</t>
  </si>
  <si>
    <t>Ashok Singh</t>
  </si>
  <si>
    <t>Sweety</t>
  </si>
  <si>
    <t>Buddhi Prakash</t>
  </si>
  <si>
    <t>Isha Soni</t>
  </si>
  <si>
    <t>Tulsi Ram Meena</t>
  </si>
  <si>
    <t>Pooja Bairwa</t>
  </si>
  <si>
    <t xml:space="preserve">Hari Narayan </t>
  </si>
  <si>
    <t>Hanuman Bairwa</t>
  </si>
  <si>
    <t>Kavita Bai Regar</t>
  </si>
  <si>
    <t>Basir Ahmed</t>
  </si>
  <si>
    <t>Krishna Rani</t>
  </si>
  <si>
    <t>Madan</t>
  </si>
  <si>
    <t>Gopal Bairwa</t>
  </si>
  <si>
    <t>Naveen Kumar</t>
  </si>
  <si>
    <t>Ibrahan</t>
  </si>
  <si>
    <t>Santosh Kumar Bairwa</t>
  </si>
  <si>
    <t>Rajesh Shrivastav</t>
  </si>
  <si>
    <t>Dilkhush</t>
  </si>
  <si>
    <t>Ankit Narayna</t>
  </si>
  <si>
    <t>Deepak Mahawar</t>
  </si>
  <si>
    <t>Dhiraj Gupta</t>
  </si>
  <si>
    <t>Giriraj Yogi</t>
  </si>
  <si>
    <t>Jhalma Yogi</t>
  </si>
  <si>
    <t>Deepak Kumar Meena</t>
  </si>
  <si>
    <t>Mukesh Atal</t>
  </si>
  <si>
    <t>Govind Kharwal</t>
  </si>
  <si>
    <t>Anil Yogi</t>
  </si>
  <si>
    <t>Rohit Bairwa</t>
  </si>
  <si>
    <t>Pradeep Bairwa</t>
  </si>
  <si>
    <t>Suresh Chand Bairwa</t>
  </si>
  <si>
    <t>Ajay Raj Singh</t>
  </si>
  <si>
    <t>Rinku Bairwa</t>
  </si>
  <si>
    <t>Vishnu Kumar Yogi</t>
  </si>
  <si>
    <t>Dinesh Kumar yadav</t>
  </si>
  <si>
    <t>Krishna Devi</t>
  </si>
  <si>
    <t>Raazi Devi</t>
  </si>
  <si>
    <t>Rupesh Kumar Yogi</t>
  </si>
  <si>
    <t>Meethalal Bairwa</t>
  </si>
  <si>
    <t>Sunil Badgoti</t>
  </si>
  <si>
    <t>Jayprakash Dhakad</t>
  </si>
  <si>
    <t>Satveer</t>
  </si>
  <si>
    <t>Ganesh Yogi</t>
  </si>
  <si>
    <t>Tasleem</t>
  </si>
  <si>
    <t>Sophiya</t>
  </si>
  <si>
    <t>Ajay Singh Tiwari</t>
  </si>
  <si>
    <t>E-Commerce</t>
  </si>
  <si>
    <t>Devendra Yogi</t>
  </si>
  <si>
    <t>Rohin</t>
  </si>
  <si>
    <t>Brajesh Kumar</t>
  </si>
  <si>
    <t>Abhishek Choudhary</t>
  </si>
  <si>
    <t>Mahendra Yogi</t>
  </si>
  <si>
    <t>Dawlu Kumar</t>
  </si>
  <si>
    <t>Arti Sharma</t>
  </si>
  <si>
    <t>Vendor Relationship Manager</t>
  </si>
  <si>
    <t>Divya Ranjan</t>
  </si>
  <si>
    <t>Ramprasad Meena</t>
  </si>
  <si>
    <t>Binni Kumar Bairwa</t>
  </si>
  <si>
    <t>Rati Ram Mali</t>
  </si>
  <si>
    <t>Ram Lakhan Meena</t>
  </si>
  <si>
    <t>Febric Helper</t>
  </si>
  <si>
    <t>Mamta Meena</t>
  </si>
  <si>
    <t>Chand Alam</t>
  </si>
  <si>
    <t>Mamta Saini</t>
  </si>
  <si>
    <t>Mamta Sain</t>
  </si>
  <si>
    <t>Shayari Saini</t>
  </si>
  <si>
    <t>Jatin Arora</t>
  </si>
  <si>
    <t>Hitesh Kumar Baroliya</t>
  </si>
  <si>
    <t>Priyanka Meena</t>
  </si>
  <si>
    <t>Rinku Kumar Meena</t>
  </si>
  <si>
    <t>Narendra Bairwa</t>
  </si>
  <si>
    <t>Hari Charan Meena</t>
  </si>
  <si>
    <t>Asha Bai</t>
  </si>
  <si>
    <t>Babali</t>
  </si>
  <si>
    <t>Raghunandan Meena</t>
  </si>
  <si>
    <t>Hansraj Meena</t>
  </si>
  <si>
    <t>Rosanti Bai Meena</t>
  </si>
  <si>
    <t>Sanjay Bairwa</t>
  </si>
  <si>
    <t>Siyaram Gocher</t>
  </si>
  <si>
    <t>Krishan Kumar Katoda</t>
  </si>
  <si>
    <t>Madhusudan Mathur</t>
  </si>
  <si>
    <t>Quality Controller</t>
  </si>
  <si>
    <t>Sita Meena</t>
  </si>
  <si>
    <t>Kunj Meena</t>
  </si>
  <si>
    <t>Manju Meena</t>
  </si>
  <si>
    <t>Puranmal</t>
  </si>
  <si>
    <t>Rohit Mehra</t>
  </si>
  <si>
    <t>Vishal</t>
  </si>
  <si>
    <t>Monu Sain</t>
  </si>
  <si>
    <t>Vikash</t>
  </si>
  <si>
    <t>Daya Ram</t>
  </si>
  <si>
    <t>Harkesh</t>
  </si>
  <si>
    <t>Amit Gupta</t>
  </si>
  <si>
    <t>Narottam Sharma</t>
  </si>
  <si>
    <t>Nand Kishor</t>
  </si>
  <si>
    <t>Naresh Kumar Mulchandani</t>
  </si>
  <si>
    <t>Bharat Shakya</t>
  </si>
  <si>
    <t>Monik Jain</t>
  </si>
  <si>
    <t>SEO Specialist</t>
  </si>
  <si>
    <t>Daya Shankar Bairwa</t>
  </si>
  <si>
    <t>Priyanka Sain</t>
  </si>
  <si>
    <t>Jitendra Gocher</t>
  </si>
  <si>
    <t>Dil Khush Yogi</t>
  </si>
  <si>
    <t>Vinod Kumar Meena</t>
  </si>
  <si>
    <t>Ram Lakhan Saini</t>
  </si>
  <si>
    <t>Vishnu Prajapat</t>
  </si>
  <si>
    <t>Suraj Mal</t>
  </si>
  <si>
    <t>Vidhya Sharma</t>
  </si>
  <si>
    <t>Mohit Bairwa</t>
  </si>
  <si>
    <t>Rajesh Bairwa</t>
  </si>
  <si>
    <t xml:space="preserve"> </t>
  </si>
  <si>
    <t>Mahaveer Prasad</t>
  </si>
  <si>
    <t>Jagdish</t>
  </si>
  <si>
    <t>Beldar Helper</t>
  </si>
  <si>
    <t>Rekha Meena</t>
  </si>
  <si>
    <t>Rameshi Bai</t>
  </si>
  <si>
    <t>Surendra Thakur</t>
  </si>
  <si>
    <t>Priyanka Bairwa</t>
  </si>
  <si>
    <t>Pooran Saini</t>
  </si>
  <si>
    <t>Mina Devi</t>
  </si>
  <si>
    <t>Manisha Kumari</t>
  </si>
  <si>
    <t>Shimla Devi</t>
  </si>
  <si>
    <t>Raj Karnta</t>
  </si>
  <si>
    <t>Sitaram Mali</t>
  </si>
  <si>
    <t>Abhishek Gupta</t>
  </si>
  <si>
    <t>Mahesh Bairwa</t>
  </si>
  <si>
    <t>Dinesh Bairwa</t>
  </si>
  <si>
    <t>Kavita Bai</t>
  </si>
  <si>
    <t>Faizal Rangrej</t>
  </si>
  <si>
    <t>Mohan Lal Meena</t>
  </si>
  <si>
    <t>Mukesh Bhawarlal Deora</t>
  </si>
  <si>
    <t>Sahil Gurnani</t>
  </si>
  <si>
    <t>Intern</t>
  </si>
  <si>
    <t>Rakhi Sharma</t>
  </si>
  <si>
    <t>Vinod Kumar</t>
  </si>
  <si>
    <t>Krishna Benarji</t>
  </si>
  <si>
    <t>Ashma Begam</t>
  </si>
  <si>
    <t>Adesh Kumar</t>
  </si>
  <si>
    <t>Pinki Meena</t>
  </si>
  <si>
    <t>Ram Khiladi</t>
  </si>
  <si>
    <t>Vishnu Puri</t>
  </si>
  <si>
    <t>Sunita (Meena)</t>
  </si>
  <si>
    <t>Sohan Lal</t>
  </si>
  <si>
    <t>Mukesh</t>
  </si>
  <si>
    <t>Mamta</t>
  </si>
  <si>
    <t>Manisha Yadav</t>
  </si>
  <si>
    <t>Parvati Devi</t>
  </si>
  <si>
    <t>Gomati</t>
  </si>
  <si>
    <t>Manoj Yogi</t>
  </si>
  <si>
    <t>Sayar</t>
  </si>
  <si>
    <t>Hetram</t>
  </si>
  <si>
    <t>Sunita choudhary</t>
  </si>
  <si>
    <t>Ritik Kumar Bairwa</t>
  </si>
  <si>
    <t>Sangita Dhaked</t>
  </si>
  <si>
    <t>Govind mahawar</t>
  </si>
  <si>
    <t>Dilkhush Bairwa</t>
  </si>
  <si>
    <t>Priya Sain</t>
  </si>
  <si>
    <t>Aeranta Bairwa</t>
  </si>
  <si>
    <t>Sachin Bairwa</t>
  </si>
  <si>
    <t>Radheshyam Bairwa</t>
  </si>
  <si>
    <t>Murli Bai</t>
  </si>
  <si>
    <t>Manju</t>
  </si>
  <si>
    <t>Lali Yogi</t>
  </si>
  <si>
    <t>Rohit Jatwa</t>
  </si>
  <si>
    <t>Rohit Kumar</t>
  </si>
  <si>
    <t>Khushi</t>
  </si>
  <si>
    <t>Mosam Devi</t>
  </si>
  <si>
    <t>Dali Bai</t>
  </si>
  <si>
    <t>Reshama</t>
  </si>
  <si>
    <t>Roshnta Devi</t>
  </si>
  <si>
    <t>Deepak Bairwa</t>
  </si>
  <si>
    <t>RohitRoopchand</t>
  </si>
  <si>
    <t>Manisha</t>
  </si>
  <si>
    <t>Subhash</t>
  </si>
  <si>
    <t>Papita</t>
  </si>
  <si>
    <t>Rohit Mahawar Koli</t>
  </si>
  <si>
    <t>Ram Singh Rajput</t>
  </si>
  <si>
    <t>Dari Alteration</t>
  </si>
  <si>
    <t>Surendra Kumar Lakhera</t>
  </si>
  <si>
    <t>Vinod Chaubdar</t>
  </si>
  <si>
    <t>Jaishree Dwarkaprasad Pareek</t>
  </si>
  <si>
    <t>Rajendra Kumar Vaishnav</t>
  </si>
  <si>
    <t>Ankit Sharma</t>
  </si>
  <si>
    <t>Meena Devi Saini</t>
  </si>
  <si>
    <t>Hari Singh Meena</t>
  </si>
  <si>
    <t>Sohan Lal Meena</t>
  </si>
  <si>
    <t>Avinash Sharma</t>
  </si>
  <si>
    <t>Kishan lal Bairwa</t>
  </si>
  <si>
    <t>Rahul</t>
  </si>
  <si>
    <t>Rakesh Meena</t>
  </si>
  <si>
    <t>ShashiKant</t>
  </si>
  <si>
    <t>Manoj Saini</t>
  </si>
  <si>
    <t>Peon</t>
  </si>
  <si>
    <t>Guddi</t>
  </si>
  <si>
    <t>Jivran</t>
  </si>
  <si>
    <t>Rohit Kumar Bairwa</t>
  </si>
  <si>
    <t>Bhushan Sharma</t>
  </si>
  <si>
    <t>Dayaran Bairwa</t>
  </si>
  <si>
    <t>Komal Sain</t>
  </si>
  <si>
    <t>Karan Singh</t>
  </si>
  <si>
    <t>Sneha</t>
  </si>
  <si>
    <t>Sunita Bai Bairwa</t>
  </si>
  <si>
    <t>Seema Bairwa</t>
  </si>
  <si>
    <t>Rakesh Kumar Meena</t>
  </si>
  <si>
    <t>Vijay Kumar Meena</t>
  </si>
  <si>
    <t>Arjun Prajapat</t>
  </si>
  <si>
    <t>Ramaswaroop Meena</t>
  </si>
  <si>
    <t>office Boy</t>
  </si>
  <si>
    <t>Karishma Motwani</t>
  </si>
  <si>
    <t>Radhika Sharma</t>
  </si>
  <si>
    <t xml:space="preserve">Kritika Rathore </t>
  </si>
  <si>
    <t>Tanisha Shah</t>
  </si>
  <si>
    <t>5001</t>
  </si>
  <si>
    <t>Jiya Khandelwal</t>
  </si>
  <si>
    <t>Kalwanti Meena</t>
  </si>
  <si>
    <t>Rahul Sain</t>
  </si>
  <si>
    <t>Rohit Choudhary</t>
  </si>
  <si>
    <t>Ayushi Maheshwari</t>
  </si>
  <si>
    <t>Vinod Yogi</t>
  </si>
  <si>
    <t>Nandu Kanwar</t>
  </si>
  <si>
    <t>Santosh Verma</t>
  </si>
  <si>
    <t>Ashok Nagar</t>
  </si>
  <si>
    <t>Ajay Valmiki</t>
  </si>
  <si>
    <t>Pushp Gautam</t>
  </si>
  <si>
    <t>MIS Executive</t>
  </si>
  <si>
    <t>Dayanand Manoliya</t>
  </si>
  <si>
    <t>Dinesh Verma</t>
  </si>
  <si>
    <t>Paras Sain</t>
  </si>
  <si>
    <t>Vikram Pachouri</t>
  </si>
  <si>
    <t>Nandani Kumari</t>
  </si>
  <si>
    <t>Santra Devi</t>
  </si>
  <si>
    <t>Dayaram Bairwa</t>
  </si>
  <si>
    <t>Mahaveer singh</t>
  </si>
  <si>
    <t>Kavita Kumari</t>
  </si>
  <si>
    <t>Jyoti Kumari Khushwah</t>
  </si>
  <si>
    <t>Mahesh Kumar</t>
  </si>
  <si>
    <t>Kiran</t>
  </si>
  <si>
    <t>Payal Kumari</t>
  </si>
  <si>
    <t>Priya Bairwa</t>
  </si>
  <si>
    <t>Rajesh Kumar Bairwa</t>
  </si>
  <si>
    <t>Radha kumari Sharma</t>
  </si>
  <si>
    <t>Rahis Mansori</t>
  </si>
  <si>
    <t>Heena</t>
  </si>
  <si>
    <t xml:space="preserve">Komal </t>
  </si>
  <si>
    <t>Vijay Singh Bairwa</t>
  </si>
  <si>
    <t>Seeta Meena</t>
  </si>
  <si>
    <t>Mahaveer Yogi</t>
  </si>
  <si>
    <t>Pavan Khushwah</t>
  </si>
  <si>
    <t>Hanuman Saini</t>
  </si>
  <si>
    <t>Montu Meena</t>
  </si>
  <si>
    <t>Khelanta Meena</t>
  </si>
  <si>
    <t>checker</t>
  </si>
  <si>
    <t>Kavita Meena</t>
  </si>
  <si>
    <t>Ramkesh Bairwa</t>
  </si>
  <si>
    <t>Sunil Bairwa</t>
  </si>
  <si>
    <t>Lokesh Bairwa</t>
  </si>
  <si>
    <t>Monika Dhanuk</t>
  </si>
  <si>
    <t>Chetna Devi</t>
  </si>
  <si>
    <t>Vikram Singh Bairwa</t>
  </si>
  <si>
    <t>Rahul Mehara</t>
  </si>
  <si>
    <t>Priya Meena</t>
  </si>
  <si>
    <t xml:space="preserve">Shrimati </t>
  </si>
  <si>
    <t>Phaltu Meena</t>
  </si>
  <si>
    <t xml:space="preserve">Manish Gurjar </t>
  </si>
  <si>
    <t xml:space="preserve">Dinesh Gurjar </t>
  </si>
  <si>
    <t>Usha Devi</t>
  </si>
  <si>
    <t>Hemraj Gurjar</t>
  </si>
  <si>
    <t>Dashrath singh meena</t>
  </si>
  <si>
    <t>Bharat Prajapati</t>
  </si>
  <si>
    <t>PPC Specialist</t>
  </si>
  <si>
    <t>Anshu Mehta</t>
  </si>
  <si>
    <t>Lekhraj Verma</t>
  </si>
  <si>
    <t>Devendra Singh</t>
  </si>
  <si>
    <t>Purvesh Bhatt</t>
  </si>
  <si>
    <t>Munesh Meena</t>
  </si>
  <si>
    <t>Accountant</t>
  </si>
  <si>
    <t>Vijendra Mahawar</t>
  </si>
  <si>
    <t>Shankar lal</t>
  </si>
  <si>
    <t xml:space="preserve">Hansraj </t>
  </si>
  <si>
    <t>Jyoti Jangid</t>
  </si>
  <si>
    <t>Hansha Bairwa</t>
  </si>
  <si>
    <t>Sunita Sahu</t>
  </si>
  <si>
    <t>Kaluram Meena</t>
  </si>
  <si>
    <t>Phoru Lal Meena</t>
  </si>
  <si>
    <t>Ravi Kumar Meena</t>
  </si>
  <si>
    <t>Shilpi</t>
  </si>
  <si>
    <t>Mahaveer Meena</t>
  </si>
  <si>
    <t>Lalita Devi</t>
  </si>
  <si>
    <t>Santra Meena</t>
  </si>
  <si>
    <t>Savita</t>
  </si>
  <si>
    <t>Manisha Bairwa</t>
  </si>
  <si>
    <t>Shubham Sharma</t>
  </si>
  <si>
    <t>Rahul bairwa</t>
  </si>
  <si>
    <t>Sawai Suthar</t>
  </si>
  <si>
    <t>Rohit Sharma</t>
  </si>
  <si>
    <t>Junior Accountant</t>
  </si>
  <si>
    <t>Kavita Ratnakar</t>
  </si>
  <si>
    <t>Hero Bai Jatav</t>
  </si>
  <si>
    <t>Munni Devi</t>
  </si>
  <si>
    <t>Shivani</t>
  </si>
  <si>
    <t>Manish Bairwa</t>
  </si>
  <si>
    <t>Khelanta Bairwa</t>
  </si>
  <si>
    <t>Manish Kumar Yogi</t>
  </si>
  <si>
    <t>Megha Rao</t>
  </si>
  <si>
    <t>Junior Textile Designer</t>
  </si>
  <si>
    <t>Mohit Kumar Bairwa</t>
  </si>
  <si>
    <t>Mohar Pal Bairwa</t>
  </si>
  <si>
    <t>Babu Lal Bairwa</t>
  </si>
  <si>
    <t>SAVITA DEV</t>
  </si>
  <si>
    <t>Ramkumar</t>
  </si>
  <si>
    <t>Rup Singh</t>
  </si>
  <si>
    <t>Bhagchand Choudhary</t>
  </si>
  <si>
    <t>Anil Sharma</t>
  </si>
  <si>
    <t>Ashish Kushwah</t>
  </si>
  <si>
    <t>Pukhraj Prajapat</t>
  </si>
  <si>
    <t>Mamta Rao</t>
  </si>
  <si>
    <t>Suman Yogi</t>
  </si>
  <si>
    <t>Mamta Sahar</t>
  </si>
  <si>
    <t>Suraksha</t>
  </si>
  <si>
    <t>Keshanta</t>
  </si>
  <si>
    <t>Dev Singh</t>
  </si>
  <si>
    <t>Contractor</t>
  </si>
  <si>
    <t>Month</t>
  </si>
  <si>
    <t>Work</t>
  </si>
  <si>
    <t>Total Manpower attendence during the month</t>
  </si>
  <si>
    <t>Labour Under Them</t>
  </si>
  <si>
    <t>Payment</t>
  </si>
  <si>
    <t>Rajesh Bairwa (Stitching)</t>
  </si>
  <si>
    <t>January</t>
  </si>
  <si>
    <t>Stiching</t>
  </si>
  <si>
    <t>February</t>
  </si>
  <si>
    <t>March</t>
  </si>
  <si>
    <t>Manraj(Eyeletting)</t>
  </si>
  <si>
    <t>Eyelet</t>
  </si>
  <si>
    <t>April</t>
  </si>
  <si>
    <t>May</t>
  </si>
  <si>
    <t>June</t>
  </si>
  <si>
    <t>July</t>
  </si>
  <si>
    <t>Sanjay (Packing)</t>
  </si>
  <si>
    <t>Packing</t>
  </si>
  <si>
    <t>Sanjeev (Thread Cutting)</t>
  </si>
  <si>
    <t>Thread Cutting</t>
  </si>
  <si>
    <t>D2C</t>
  </si>
  <si>
    <t>Division</t>
  </si>
  <si>
    <t>Sub Division</t>
  </si>
  <si>
    <t xml:space="preserve">Admin </t>
  </si>
  <si>
    <t>Management</t>
  </si>
  <si>
    <t>Manufacturing</t>
  </si>
  <si>
    <t>Inventory Team</t>
  </si>
  <si>
    <t>Operations &amp; Listings</t>
  </si>
  <si>
    <t>Domestic</t>
  </si>
  <si>
    <t>Management, Listings &amp; Opretions</t>
  </si>
  <si>
    <t>Overseas</t>
  </si>
  <si>
    <t>Order Dispatch Team</t>
  </si>
  <si>
    <t>PPC Management</t>
  </si>
  <si>
    <t>Return Team</t>
  </si>
  <si>
    <t>Inventory Audit &amp; Placement Head</t>
  </si>
  <si>
    <t>Shipment Team</t>
  </si>
  <si>
    <t>Return Checking</t>
  </si>
  <si>
    <t>Cutting</t>
  </si>
  <si>
    <t>Order Pickup &amp; Management</t>
  </si>
  <si>
    <t xml:space="preserve">Final Checking </t>
  </si>
  <si>
    <t xml:space="preserve">Order Dispatch </t>
  </si>
  <si>
    <t>Eyeletting</t>
  </si>
  <si>
    <t>Pressing</t>
  </si>
  <si>
    <t>Order Pickup</t>
  </si>
  <si>
    <t>Stitching</t>
  </si>
  <si>
    <t>Placement</t>
  </si>
  <si>
    <t>Supervisor</t>
  </si>
  <si>
    <t>Order Pickup &amp; Placement</t>
  </si>
  <si>
    <t>Quality Checking</t>
  </si>
  <si>
    <t>Order Label &amp; Invoice Proccessing</t>
  </si>
  <si>
    <t>Cutting helper</t>
  </si>
  <si>
    <t>Fabric Store Keeper</t>
  </si>
  <si>
    <t xml:space="preserve">Packing List Creations &amp; Shipping Label </t>
  </si>
  <si>
    <t>Return Entry &amp; Safe-T Claim</t>
  </si>
  <si>
    <t xml:space="preserve">Marking </t>
  </si>
  <si>
    <t>Label Advisor</t>
  </si>
  <si>
    <t>Floor Incharge</t>
  </si>
  <si>
    <t xml:space="preserve">Manager </t>
  </si>
  <si>
    <t>Barcode Labeling</t>
  </si>
  <si>
    <t>Packed Order handling</t>
  </si>
  <si>
    <t>Listings</t>
  </si>
  <si>
    <t>Sweeper</t>
  </si>
  <si>
    <t>Order Final Packing</t>
  </si>
  <si>
    <t xml:space="preserve">Shipment </t>
  </si>
  <si>
    <t>Accounts</t>
  </si>
  <si>
    <t>Packing List Order Handling</t>
  </si>
  <si>
    <t>Human Resources</t>
  </si>
  <si>
    <t>Digital Marketting</t>
  </si>
  <si>
    <t>Customer Relation</t>
  </si>
  <si>
    <t>Data Analyst</t>
  </si>
  <si>
    <t>Designer</t>
  </si>
  <si>
    <t>Office Support</t>
  </si>
  <si>
    <t>L-1</t>
  </si>
  <si>
    <t>L-2</t>
  </si>
  <si>
    <t>L-3</t>
  </si>
  <si>
    <t>L-4</t>
  </si>
  <si>
    <t>L-5</t>
  </si>
  <si>
    <t>L-6</t>
  </si>
  <si>
    <t>L-7</t>
  </si>
  <si>
    <t>L-8</t>
  </si>
  <si>
    <t>L-9</t>
  </si>
  <si>
    <t>L-10</t>
  </si>
  <si>
    <t>Human Resource</t>
  </si>
  <si>
    <t>Level Wise</t>
  </si>
  <si>
    <t>l-6</t>
  </si>
  <si>
    <t>Data analyst</t>
  </si>
  <si>
    <t>PF Employer</t>
  </si>
  <si>
    <t>ESI Employer</t>
  </si>
  <si>
    <t>On record</t>
  </si>
  <si>
    <t>Console</t>
  </si>
  <si>
    <t xml:space="preserve"> On record</t>
  </si>
  <si>
    <t>Security Contractor</t>
  </si>
  <si>
    <t>on record</t>
  </si>
  <si>
    <t>Mode</t>
  </si>
  <si>
    <t>Karishma Katiyar</t>
  </si>
  <si>
    <t>Yogendra Tailor</t>
  </si>
  <si>
    <t>Lalchand</t>
  </si>
  <si>
    <t>Parmatma Ram</t>
  </si>
  <si>
    <t>Omprakash Sharma</t>
  </si>
  <si>
    <t>Reena Jatav</t>
  </si>
  <si>
    <t>Rampratap</t>
  </si>
  <si>
    <t>Madan Bairwa</t>
  </si>
  <si>
    <t>Naresh Prajapati</t>
  </si>
  <si>
    <t>Hemraj Nainwal</t>
  </si>
  <si>
    <t>Vinit Kumar</t>
  </si>
  <si>
    <t>Manish Prajapt</t>
  </si>
  <si>
    <t>Gokul Chand Soni</t>
  </si>
  <si>
    <t>Utkarsha Vikram Singh</t>
  </si>
  <si>
    <t>Shekher Kumar Sharma</t>
  </si>
  <si>
    <t>Abhishek Meena</t>
  </si>
  <si>
    <t>Arpit Tak</t>
  </si>
  <si>
    <t>Shivraj Singh</t>
  </si>
  <si>
    <t>Admin Executive</t>
  </si>
  <si>
    <t>Tejasvi singh Gaur</t>
  </si>
  <si>
    <t>Merchant</t>
  </si>
  <si>
    <t>Pratham Jain</t>
  </si>
  <si>
    <t>Kavita Mahawar</t>
  </si>
  <si>
    <t>Nisha Kumari</t>
  </si>
  <si>
    <t>Nada dori</t>
  </si>
  <si>
    <t>Mahendra Kumar Mahawar</t>
  </si>
  <si>
    <t>Rajesh Prajapat</t>
  </si>
  <si>
    <t>Shalu</t>
  </si>
  <si>
    <t>Manohar Lal Sharma</t>
  </si>
  <si>
    <t>Seema</t>
  </si>
  <si>
    <t>Meera Bairwa</t>
  </si>
  <si>
    <t>Tarawati</t>
  </si>
  <si>
    <t>Sunita Bairwa</t>
  </si>
  <si>
    <t>Jitendra Babu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</si>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</sst>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3" fillId="0" borderId="1" xfId="0" applyFont="1" applyBorder="1"/>
    <xf numFmtId="0" fontId="0" fillId="2" borderId="2" xfId="0" applyFill="1" applyBorder="1"/>
    <xf numFmtId="0" fontId="0" fillId="0" borderId="2" xfId="0" applyBorder="1"/>
    <xf numFmtId="18" fontId="0" fillId="0" borderId="1" xfId="0" applyNumberFormat="1" applyBorder="1"/>
    <xf numFmtId="0" fontId="0" fillId="0" borderId="4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0" borderId="5" xfId="0" applyFont="1" applyBorder="1"/>
  </cellXfs>
  <cellStyles count="3">
    <cellStyle name="Normal" xfId="0" builtinId="0"/>
    <cellStyle name="Normal 5" xfId="1" xr:uid="{422EE051-496F-4F89-BA35-DA200E840D9E}"/>
    <cellStyle name="Normal 6" xfId="2" xr:uid="{9B6E3E3F-A23E-4897-8C48-7D58F254AF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HRMS%20Main%20Data%20%201.xlsx" TargetMode="External"/><Relationship Id="rId1" Type="http://schemas.openxmlformats.org/officeDocument/2006/relationships/externalLinkPath" Target="file:///C:\Users\user\Downloads\HRMS%20Main%20Data%20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 2025"/>
      <sheetName val="February 2025"/>
      <sheetName val="March 2025"/>
      <sheetName val="April 2025"/>
      <sheetName val="May 2025"/>
      <sheetName val="June 2025"/>
      <sheetName val="July 2025"/>
      <sheetName val="Export Sales"/>
      <sheetName val="Domestic Sales"/>
      <sheetName val="Contractor"/>
      <sheetName val="Agency"/>
      <sheetName val="Sheet1"/>
    </sheetNames>
    <sheetDataSet>
      <sheetData sheetId="0">
        <row r="1">
          <cell r="C1" t="str">
            <v>Name</v>
          </cell>
          <cell r="I1" t="str">
            <v>Department</v>
          </cell>
        </row>
        <row r="2">
          <cell r="C2" t="str">
            <v>Abhishek Choudhary</v>
          </cell>
          <cell r="I2" t="str">
            <v>Manufacturing</v>
          </cell>
        </row>
        <row r="3">
          <cell r="C3" t="str">
            <v>Ajay Singh Tiwari</v>
          </cell>
          <cell r="I3" t="str">
            <v>Domestic</v>
          </cell>
        </row>
        <row r="4">
          <cell r="C4" t="str">
            <v>Amit Gupta</v>
          </cell>
          <cell r="I4" t="str">
            <v>Manufacturing</v>
          </cell>
        </row>
        <row r="5">
          <cell r="C5" t="str">
            <v>Arti Sharma</v>
          </cell>
          <cell r="I5" t="str">
            <v xml:space="preserve">Admin </v>
          </cell>
        </row>
        <row r="6">
          <cell r="C6" t="str">
            <v>Asharam Bairwa</v>
          </cell>
          <cell r="I6" t="str">
            <v>Domestic</v>
          </cell>
        </row>
        <row r="7">
          <cell r="C7" t="str">
            <v>Ashutosh Bairwa</v>
          </cell>
          <cell r="I7" t="str">
            <v>Overseas</v>
          </cell>
        </row>
        <row r="8">
          <cell r="C8" t="str">
            <v>Asim Shoyab Khan</v>
          </cell>
          <cell r="I8" t="str">
            <v>Domestic</v>
          </cell>
        </row>
        <row r="9">
          <cell r="C9" t="str">
            <v>Babali</v>
          </cell>
          <cell r="I9" t="str">
            <v>Manufacturing</v>
          </cell>
        </row>
        <row r="10">
          <cell r="C10" t="str">
            <v>Bharat Shakya</v>
          </cell>
          <cell r="I10" t="str">
            <v>Manufacturing</v>
          </cell>
        </row>
        <row r="11">
          <cell r="C11" t="str">
            <v>Binni Kumar Bairwa</v>
          </cell>
          <cell r="I11" t="str">
            <v>Domestic</v>
          </cell>
        </row>
        <row r="12">
          <cell r="C12" t="str">
            <v>Buddhi Prakash</v>
          </cell>
          <cell r="I12" t="str">
            <v>Manufacturing</v>
          </cell>
        </row>
        <row r="13">
          <cell r="C13" t="str">
            <v>Chakshita Maheshwari</v>
          </cell>
          <cell r="I13" t="str">
            <v>Domestic</v>
          </cell>
        </row>
        <row r="14">
          <cell r="C14" t="str">
            <v>Chanda Ji</v>
          </cell>
          <cell r="I14" t="str">
            <v>Manufacturing</v>
          </cell>
        </row>
        <row r="15">
          <cell r="C15" t="str">
            <v>Chhaju Lal Saini</v>
          </cell>
          <cell r="I15" t="str">
            <v>Domestic</v>
          </cell>
        </row>
        <row r="16">
          <cell r="C16" t="str">
            <v>Chiranji Lal Meena</v>
          </cell>
          <cell r="I16" t="str">
            <v>Manufacturing</v>
          </cell>
        </row>
        <row r="17">
          <cell r="C17" t="str">
            <v>Dawlu Kumar</v>
          </cell>
          <cell r="I17" t="str">
            <v>Domestic</v>
          </cell>
        </row>
        <row r="18">
          <cell r="C18" t="str">
            <v>Daya Ram</v>
          </cell>
          <cell r="I18" t="str">
            <v>Manufacturing</v>
          </cell>
        </row>
        <row r="19">
          <cell r="C19" t="str">
            <v>Daya Shankar Bairwa</v>
          </cell>
          <cell r="I19" t="str">
            <v>Domestic</v>
          </cell>
        </row>
        <row r="20">
          <cell r="C20" t="str">
            <v>Deshraj Meena</v>
          </cell>
          <cell r="I20" t="str">
            <v>Domestic</v>
          </cell>
        </row>
        <row r="21">
          <cell r="C21" t="str">
            <v>Dil Khush Yogi</v>
          </cell>
          <cell r="I21" t="str">
            <v>Overseas</v>
          </cell>
        </row>
        <row r="22">
          <cell r="C22" t="str">
            <v>Dilip</v>
          </cell>
          <cell r="I22" t="str">
            <v>Manufacturing</v>
          </cell>
        </row>
        <row r="23">
          <cell r="C23" t="str">
            <v>Divya Ranjan</v>
          </cell>
          <cell r="I23" t="str">
            <v>Domestic</v>
          </cell>
        </row>
        <row r="24">
          <cell r="C24" t="str">
            <v>Ehsaan Khan</v>
          </cell>
          <cell r="I24" t="str">
            <v>Domestic</v>
          </cell>
        </row>
        <row r="25">
          <cell r="C25" t="str">
            <v>Feliram Bairwa</v>
          </cell>
          <cell r="I25" t="str">
            <v>Domestic</v>
          </cell>
        </row>
        <row r="26">
          <cell r="C26" t="str">
            <v>Foranti</v>
          </cell>
          <cell r="I26" t="str">
            <v>Manufacturing</v>
          </cell>
        </row>
        <row r="27">
          <cell r="C27" t="str">
            <v>Furqan Hameed</v>
          </cell>
          <cell r="I27" t="str">
            <v>Overseas</v>
          </cell>
        </row>
        <row r="28">
          <cell r="C28" t="str">
            <v>Ganesh Meena</v>
          </cell>
          <cell r="I28" t="str">
            <v>Manufacturing</v>
          </cell>
        </row>
        <row r="29">
          <cell r="C29" t="str">
            <v>Govind Sharma</v>
          </cell>
          <cell r="I29" t="str">
            <v>Manufacturing</v>
          </cell>
        </row>
        <row r="30">
          <cell r="C30" t="str">
            <v>Gulbatti Meena</v>
          </cell>
          <cell r="I30" t="str">
            <v>Manufacturing</v>
          </cell>
        </row>
        <row r="31">
          <cell r="C31" t="str">
            <v>Hansraj Meena</v>
          </cell>
          <cell r="I31" t="str">
            <v>Manufacturing</v>
          </cell>
        </row>
        <row r="32">
          <cell r="C32" t="str">
            <v>Hanuman Sahay Prajapat</v>
          </cell>
          <cell r="I32" t="str">
            <v>Domestic</v>
          </cell>
        </row>
        <row r="33">
          <cell r="C33" t="str">
            <v>Hari Charan Meena</v>
          </cell>
          <cell r="I33" t="str">
            <v>Manufacturing</v>
          </cell>
        </row>
        <row r="34">
          <cell r="C34" t="str">
            <v>Harkesh</v>
          </cell>
          <cell r="I34" t="str">
            <v>Overseas</v>
          </cell>
        </row>
        <row r="35">
          <cell r="C35" t="str">
            <v>Harkesh Kumar Bairwa</v>
          </cell>
          <cell r="I35" t="str">
            <v>Manufacturing</v>
          </cell>
        </row>
        <row r="36">
          <cell r="C36" t="str">
            <v>Hitesh Kumar Baroliya</v>
          </cell>
          <cell r="I36" t="str">
            <v>Domestic</v>
          </cell>
        </row>
        <row r="37">
          <cell r="C37" t="str">
            <v>Jabid Husen</v>
          </cell>
          <cell r="I37" t="str">
            <v>Domestic</v>
          </cell>
        </row>
        <row r="38">
          <cell r="C38" t="str">
            <v>Jatin Arora</v>
          </cell>
          <cell r="I38" t="str">
            <v>Overseas</v>
          </cell>
        </row>
        <row r="39">
          <cell r="C39" t="str">
            <v>Jitendra Bairwa</v>
          </cell>
          <cell r="I39" t="str">
            <v>Manufacturing</v>
          </cell>
        </row>
        <row r="40">
          <cell r="C40" t="str">
            <v>Jitendra Gocher</v>
          </cell>
          <cell r="I40" t="str">
            <v>Manufacturing</v>
          </cell>
        </row>
        <row r="41">
          <cell r="C41" t="str">
            <v>Jitendra Sharma</v>
          </cell>
          <cell r="I41" t="str">
            <v>Manufacturing</v>
          </cell>
        </row>
        <row r="42">
          <cell r="C42" t="str">
            <v>Jitu Yogi</v>
          </cell>
          <cell r="I42" t="str">
            <v>Manufacturing</v>
          </cell>
        </row>
        <row r="43">
          <cell r="C43" t="str">
            <v>Kamlesh Meena</v>
          </cell>
          <cell r="I43" t="str">
            <v>Manufacturing</v>
          </cell>
        </row>
        <row r="44">
          <cell r="C44" t="str">
            <v>Kaptaan Singh</v>
          </cell>
          <cell r="I44" t="str">
            <v>Manufacturing</v>
          </cell>
        </row>
        <row r="45">
          <cell r="C45" t="str">
            <v>Karishma Kaityar</v>
          </cell>
          <cell r="I45" t="str">
            <v>Overseas</v>
          </cell>
        </row>
        <row r="46">
          <cell r="C46" t="str">
            <v>Krishan Kumar Katoda</v>
          </cell>
          <cell r="I46" t="str">
            <v>Manufacturing</v>
          </cell>
        </row>
        <row r="47">
          <cell r="C47" t="str">
            <v>Krishna Rani</v>
          </cell>
          <cell r="I47" t="str">
            <v>Manufacturing</v>
          </cell>
        </row>
        <row r="48">
          <cell r="C48" t="str">
            <v>Kunj Meena</v>
          </cell>
          <cell r="I48" t="str">
            <v>Domestic</v>
          </cell>
        </row>
        <row r="49">
          <cell r="C49" t="str">
            <v>Laxman</v>
          </cell>
          <cell r="I49" t="str">
            <v>Manufacturing</v>
          </cell>
        </row>
        <row r="50">
          <cell r="C50" t="str">
            <v>Lokesh Sharma</v>
          </cell>
          <cell r="I50" t="str">
            <v>Domestic</v>
          </cell>
        </row>
        <row r="51">
          <cell r="C51" t="str">
            <v>Madhusudan Mathur</v>
          </cell>
          <cell r="I51" t="str">
            <v>Manufacturing</v>
          </cell>
        </row>
        <row r="52">
          <cell r="C52" t="str">
            <v>Mahendra Gurjer</v>
          </cell>
          <cell r="I52" t="str">
            <v>Manufacturing</v>
          </cell>
        </row>
        <row r="53">
          <cell r="C53" t="str">
            <v>Mahendra Sharma</v>
          </cell>
          <cell r="I53" t="str">
            <v>Domestic</v>
          </cell>
        </row>
        <row r="54">
          <cell r="C54" t="str">
            <v>Mahendra Yogi</v>
          </cell>
          <cell r="I54" t="str">
            <v>Domestic</v>
          </cell>
        </row>
        <row r="55">
          <cell r="C55" t="str">
            <v>Mamta Meena</v>
          </cell>
          <cell r="I55" t="str">
            <v>Manufacturing</v>
          </cell>
        </row>
        <row r="56">
          <cell r="C56" t="str">
            <v>Mamta Sain</v>
          </cell>
          <cell r="I56" t="str">
            <v>Manufacturing</v>
          </cell>
        </row>
        <row r="57">
          <cell r="C57" t="str">
            <v>Mamta Saini</v>
          </cell>
          <cell r="I57" t="str">
            <v>Manufacturing</v>
          </cell>
        </row>
        <row r="58">
          <cell r="C58" t="str">
            <v>Manish Kumar Bairwa</v>
          </cell>
          <cell r="I58" t="str">
            <v>Domestic</v>
          </cell>
        </row>
        <row r="59">
          <cell r="C59" t="str">
            <v>Manish Kumar Bairwa</v>
          </cell>
          <cell r="I59" t="str">
            <v>Manufacturing</v>
          </cell>
        </row>
        <row r="60">
          <cell r="C60" t="str">
            <v>Manjeet Sain</v>
          </cell>
          <cell r="I60" t="str">
            <v>Domestic</v>
          </cell>
        </row>
        <row r="61">
          <cell r="C61" t="str">
            <v>Manju Meena</v>
          </cell>
          <cell r="I61" t="str">
            <v>Manufacturing</v>
          </cell>
        </row>
        <row r="62">
          <cell r="C62" t="str">
            <v>Mithta Lal Bairwa</v>
          </cell>
          <cell r="I62" t="str">
            <v>Domestic</v>
          </cell>
        </row>
        <row r="63">
          <cell r="C63" t="str">
            <v>Mohamad Faizal</v>
          </cell>
          <cell r="I63" t="str">
            <v>Domestic</v>
          </cell>
        </row>
        <row r="64">
          <cell r="C64" t="str">
            <v>Mohan lal Bairwa</v>
          </cell>
          <cell r="I64" t="str">
            <v>Domestic</v>
          </cell>
        </row>
        <row r="65">
          <cell r="C65" t="str">
            <v>Mohd. Shoyeb Rangrej</v>
          </cell>
          <cell r="I65" t="str">
            <v>Domestic</v>
          </cell>
        </row>
        <row r="66">
          <cell r="C66" t="str">
            <v>Mohit Bairwa</v>
          </cell>
          <cell r="I66" t="str">
            <v>Domestic</v>
          </cell>
        </row>
        <row r="67">
          <cell r="C67" t="str">
            <v>Monik Jain</v>
          </cell>
          <cell r="I67" t="str">
            <v>D2C</v>
          </cell>
        </row>
        <row r="68">
          <cell r="C68" t="str">
            <v>Monu Sain</v>
          </cell>
          <cell r="I68" t="str">
            <v>Manufacturing</v>
          </cell>
        </row>
        <row r="69">
          <cell r="C69" t="str">
            <v>Nand Kishor</v>
          </cell>
          <cell r="I69" t="str">
            <v>Manufacturing</v>
          </cell>
        </row>
        <row r="70">
          <cell r="C70" t="str">
            <v>Naresh Kumar Bairwa</v>
          </cell>
          <cell r="I70" t="str">
            <v>Manufacturing</v>
          </cell>
        </row>
        <row r="71">
          <cell r="C71" t="str">
            <v>Narottam Sharma</v>
          </cell>
          <cell r="I71" t="str">
            <v>Manufacturing</v>
          </cell>
        </row>
        <row r="72">
          <cell r="C72" t="str">
            <v>Naveen Bhaskar</v>
          </cell>
          <cell r="I72" t="str">
            <v>Manufacturing</v>
          </cell>
        </row>
        <row r="73">
          <cell r="C73" t="str">
            <v>Omprakash Yogi</v>
          </cell>
          <cell r="I73" t="str">
            <v>Domestic</v>
          </cell>
        </row>
        <row r="74">
          <cell r="C74" t="str">
            <v>Padmawati</v>
          </cell>
          <cell r="I74" t="str">
            <v>Manufacturing</v>
          </cell>
        </row>
        <row r="75">
          <cell r="C75" t="str">
            <v>Pawan Prajapat</v>
          </cell>
          <cell r="I75" t="str">
            <v>Domestic</v>
          </cell>
        </row>
        <row r="76">
          <cell r="C76" t="str">
            <v xml:space="preserve">Peeyush Pareek </v>
          </cell>
          <cell r="I76" t="str">
            <v>D2C</v>
          </cell>
        </row>
        <row r="77">
          <cell r="C77" t="str">
            <v>Priyanka Meena</v>
          </cell>
          <cell r="I77" t="str">
            <v>Manufacturing</v>
          </cell>
        </row>
        <row r="78">
          <cell r="C78" t="str">
            <v>Priyanka Sain</v>
          </cell>
          <cell r="I78" t="str">
            <v>Manufacturing</v>
          </cell>
        </row>
        <row r="79">
          <cell r="C79" t="str">
            <v>Puranmal</v>
          </cell>
          <cell r="I79" t="str">
            <v>Domestic</v>
          </cell>
        </row>
        <row r="80">
          <cell r="C80" t="str">
            <v>Raghunandan Meena</v>
          </cell>
          <cell r="I80" t="str">
            <v>Manufacturing</v>
          </cell>
        </row>
        <row r="81">
          <cell r="C81" t="str">
            <v>Rahul Bairwa</v>
          </cell>
          <cell r="I81" t="str">
            <v>Domestic</v>
          </cell>
        </row>
        <row r="82">
          <cell r="C82" t="str">
            <v>Rajendra Prasad Vijay</v>
          </cell>
          <cell r="I82" t="str">
            <v xml:space="preserve">Admin </v>
          </cell>
        </row>
        <row r="83">
          <cell r="C83" t="str">
            <v>Rajesh Sharma</v>
          </cell>
          <cell r="I83" t="str">
            <v xml:space="preserve">Admin </v>
          </cell>
        </row>
        <row r="84">
          <cell r="C84" t="str">
            <v>Raji Devi</v>
          </cell>
          <cell r="I84" t="str">
            <v>Manufacturing</v>
          </cell>
        </row>
        <row r="85">
          <cell r="C85" t="str">
            <v>Rajkumari Tailor</v>
          </cell>
          <cell r="I85" t="str">
            <v>Manufacturing</v>
          </cell>
        </row>
        <row r="86">
          <cell r="C86" t="str">
            <v>Raju Lal Bairwa</v>
          </cell>
          <cell r="I86" t="str">
            <v>Domestic</v>
          </cell>
        </row>
        <row r="87">
          <cell r="C87" t="str">
            <v>Ram Lakhan Meena</v>
          </cell>
          <cell r="I87" t="str">
            <v>Manufacturing</v>
          </cell>
        </row>
        <row r="88">
          <cell r="C88" t="str">
            <v>Ram Lakhan Saini</v>
          </cell>
          <cell r="I88" t="str">
            <v>Domestic</v>
          </cell>
        </row>
        <row r="89">
          <cell r="C89" t="str">
            <v>Ramprasad Meena</v>
          </cell>
          <cell r="I89" t="str">
            <v>Manufacturing</v>
          </cell>
        </row>
        <row r="90">
          <cell r="C90" t="str">
            <v>Ramswaroop</v>
          </cell>
          <cell r="I90" t="str">
            <v>Manufacturing</v>
          </cell>
        </row>
        <row r="91">
          <cell r="C91" t="str">
            <v>Rati Ram Mali</v>
          </cell>
          <cell r="I91" t="str">
            <v>Domestic</v>
          </cell>
        </row>
        <row r="92">
          <cell r="C92" t="str">
            <v>Ravi Kumar Bairwa (Tatawat)</v>
          </cell>
          <cell r="I92" t="str">
            <v>Domestic</v>
          </cell>
        </row>
        <row r="93">
          <cell r="C93" t="str">
            <v xml:space="preserve">Ravi Panchal </v>
          </cell>
          <cell r="I93" t="str">
            <v>Domestic</v>
          </cell>
        </row>
        <row r="94">
          <cell r="C94" t="str">
            <v>Riddhi Gupta</v>
          </cell>
          <cell r="I94" t="str">
            <v>D2C</v>
          </cell>
        </row>
        <row r="95">
          <cell r="C95" t="str">
            <v>Rinku Kumar Meena</v>
          </cell>
          <cell r="I95" t="str">
            <v>Manufacturing</v>
          </cell>
        </row>
        <row r="96">
          <cell r="C96" t="str">
            <v>Ritu Devi</v>
          </cell>
          <cell r="I96" t="str">
            <v>Manufacturing</v>
          </cell>
        </row>
        <row r="97">
          <cell r="C97" t="str">
            <v>Rizwan Ali Khan</v>
          </cell>
          <cell r="I97" t="str">
            <v>Domestic</v>
          </cell>
        </row>
        <row r="98">
          <cell r="C98" t="str">
            <v>Rohit Mehra</v>
          </cell>
          <cell r="I98" t="str">
            <v>Manufacturing</v>
          </cell>
        </row>
        <row r="99">
          <cell r="C99" t="str">
            <v>Rohitash Kumar</v>
          </cell>
          <cell r="I99" t="str">
            <v>Domestic</v>
          </cell>
        </row>
        <row r="100">
          <cell r="C100" t="str">
            <v>Rosanti Bai Meena</v>
          </cell>
          <cell r="I100" t="str">
            <v>Manufacturing</v>
          </cell>
        </row>
        <row r="101">
          <cell r="C101" t="str">
            <v>Rupesh Kumar Jha</v>
          </cell>
          <cell r="I101" t="str">
            <v xml:space="preserve">Admin </v>
          </cell>
        </row>
        <row r="102">
          <cell r="C102" t="str">
            <v>Saddam Hussain</v>
          </cell>
          <cell r="I102" t="str">
            <v>Manufacturing</v>
          </cell>
        </row>
        <row r="103">
          <cell r="C103" t="str">
            <v>Safina Khan</v>
          </cell>
          <cell r="I103" t="str">
            <v>Manufacturing</v>
          </cell>
        </row>
        <row r="104">
          <cell r="C104" t="str">
            <v>Sakuntala Bairwa</v>
          </cell>
          <cell r="I104" t="str">
            <v>Manufacturing</v>
          </cell>
        </row>
        <row r="105">
          <cell r="C105" t="str">
            <v>Sanjay Bairwa</v>
          </cell>
          <cell r="I105" t="str">
            <v>Domestic</v>
          </cell>
        </row>
        <row r="106">
          <cell r="C106" t="str">
            <v>Santara</v>
          </cell>
          <cell r="I106" t="str">
            <v>Manufacturing</v>
          </cell>
        </row>
        <row r="107">
          <cell r="C107" t="str">
            <v>Santosh Devi</v>
          </cell>
          <cell r="I107" t="str">
            <v>Manufacturing</v>
          </cell>
        </row>
        <row r="108">
          <cell r="C108" t="str">
            <v>Shaitan Singh</v>
          </cell>
          <cell r="I108" t="str">
            <v>Manufacturing</v>
          </cell>
        </row>
        <row r="109">
          <cell r="C109" t="str">
            <v>Shayari Saini</v>
          </cell>
          <cell r="I109" t="str">
            <v>Manufacturing</v>
          </cell>
        </row>
        <row r="110">
          <cell r="C110" t="str">
            <v>Sheru Kumar</v>
          </cell>
          <cell r="I110" t="str">
            <v>Domestic</v>
          </cell>
        </row>
        <row r="111">
          <cell r="C111" t="str">
            <v>Sita Meena</v>
          </cell>
          <cell r="I111" t="str">
            <v>Manufacturing</v>
          </cell>
        </row>
        <row r="112">
          <cell r="C112" t="str">
            <v>Siyaram Gocher</v>
          </cell>
          <cell r="I112" t="str">
            <v>Domestic</v>
          </cell>
        </row>
        <row r="113">
          <cell r="C113" t="str">
            <v>Sonu Bairwa</v>
          </cell>
          <cell r="I113" t="str">
            <v>Manufacturing</v>
          </cell>
        </row>
        <row r="114">
          <cell r="C114" t="str">
            <v>Sonu Bairwa</v>
          </cell>
          <cell r="I114" t="str">
            <v>Manufacturing</v>
          </cell>
        </row>
        <row r="115">
          <cell r="C115" t="str">
            <v>Sonu Bairwa Tailor</v>
          </cell>
          <cell r="I115" t="str">
            <v>Manufacturing</v>
          </cell>
        </row>
        <row r="116">
          <cell r="C116" t="str">
            <v>Sonu Meena</v>
          </cell>
          <cell r="I116" t="str">
            <v>Manufacturing</v>
          </cell>
        </row>
        <row r="117">
          <cell r="C117" t="str">
            <v>Suraj Mal</v>
          </cell>
          <cell r="I117" t="str">
            <v>Overseas</v>
          </cell>
        </row>
        <row r="118">
          <cell r="C118" t="str">
            <v>Surajmal Prajapati</v>
          </cell>
          <cell r="I118" t="str">
            <v xml:space="preserve">Admin </v>
          </cell>
        </row>
        <row r="119">
          <cell r="C119" t="str">
            <v>Surendra Bairwa</v>
          </cell>
          <cell r="I119" t="str">
            <v>Domestic</v>
          </cell>
        </row>
        <row r="120">
          <cell r="C120" t="str">
            <v>Surendra Tailor</v>
          </cell>
          <cell r="I120" t="str">
            <v>Domestic</v>
          </cell>
        </row>
        <row r="121">
          <cell r="C121" t="str">
            <v>Suresh Sharma</v>
          </cell>
          <cell r="I121" t="str">
            <v>Domestic</v>
          </cell>
        </row>
        <row r="122">
          <cell r="C122" t="str">
            <v>Tehseenul Islam Siddque</v>
          </cell>
          <cell r="I122" t="str">
            <v xml:space="preserve">Admin </v>
          </cell>
        </row>
        <row r="123">
          <cell r="C123" t="str">
            <v>Tulsi Ram Meena</v>
          </cell>
          <cell r="I123" t="str">
            <v>Manufacturing</v>
          </cell>
        </row>
        <row r="124">
          <cell r="C124" t="str">
            <v>Upendra Bairwa</v>
          </cell>
          <cell r="I124" t="str">
            <v>Manufacturing</v>
          </cell>
        </row>
        <row r="125">
          <cell r="C125" t="str">
            <v>Vidhya Sharma</v>
          </cell>
          <cell r="I125" t="str">
            <v>Manufacturing</v>
          </cell>
        </row>
        <row r="126">
          <cell r="C126" t="str">
            <v>Vijay Kumar</v>
          </cell>
          <cell r="I126" t="str">
            <v>Manufacturing</v>
          </cell>
        </row>
        <row r="127">
          <cell r="C127" t="str">
            <v>Vikash</v>
          </cell>
          <cell r="I127" t="str">
            <v>Manufacturing</v>
          </cell>
        </row>
        <row r="128">
          <cell r="C128" t="str">
            <v>Vikash Bairwa</v>
          </cell>
          <cell r="I128" t="str">
            <v>Domestic</v>
          </cell>
        </row>
        <row r="129">
          <cell r="C129" t="str">
            <v>Vikash Bairwa</v>
          </cell>
          <cell r="I129" t="str">
            <v>Domestic</v>
          </cell>
        </row>
        <row r="130">
          <cell r="C130" t="str">
            <v>Vikash Kumar</v>
          </cell>
          <cell r="I130" t="str">
            <v>Domestic</v>
          </cell>
        </row>
        <row r="131">
          <cell r="C131" t="str">
            <v>Vinod Kumar Bairwa</v>
          </cell>
          <cell r="I131" t="str">
            <v>Domestic</v>
          </cell>
        </row>
        <row r="132">
          <cell r="C132" t="str">
            <v>Vinod Kumar Meena</v>
          </cell>
          <cell r="I132" t="str">
            <v>Manufacturing</v>
          </cell>
        </row>
        <row r="133">
          <cell r="C133" t="str">
            <v>Vishal</v>
          </cell>
          <cell r="I133" t="str">
            <v>Domestic</v>
          </cell>
        </row>
        <row r="134">
          <cell r="C134" t="str">
            <v>Vishnu Kumar Yogi</v>
          </cell>
          <cell r="I134" t="str">
            <v>Manufacturing</v>
          </cell>
        </row>
        <row r="135">
          <cell r="C135" t="str">
            <v>Vishnu Prajapat</v>
          </cell>
          <cell r="I135" t="str">
            <v>Manufacturing</v>
          </cell>
        </row>
        <row r="136">
          <cell r="C136" t="str">
            <v>Yashodatt Sharma</v>
          </cell>
          <cell r="I136" t="str">
            <v>Manufacturing</v>
          </cell>
        </row>
      </sheetData>
      <sheetData sheetId="1">
        <row r="1">
          <cell r="C1" t="str">
            <v>Name</v>
          </cell>
          <cell r="I1" t="str">
            <v>Department</v>
          </cell>
        </row>
        <row r="2">
          <cell r="C2" t="str">
            <v>Chanda Ji</v>
          </cell>
          <cell r="I2" t="str">
            <v>Manufacturing</v>
          </cell>
        </row>
        <row r="3">
          <cell r="C3" t="str">
            <v>Surendra Bairwa</v>
          </cell>
          <cell r="I3" t="str">
            <v>Domestic</v>
          </cell>
        </row>
        <row r="4">
          <cell r="C4" t="str">
            <v>Harkesh Kumar Bairwa</v>
          </cell>
          <cell r="I4" t="str">
            <v>Manufacturing</v>
          </cell>
        </row>
        <row r="5">
          <cell r="C5" t="str">
            <v>Mohd. Shoyeb Rangrej</v>
          </cell>
          <cell r="I5" t="str">
            <v>Domestic</v>
          </cell>
        </row>
        <row r="6">
          <cell r="C6" t="str">
            <v>Rizwan Ali Khan</v>
          </cell>
          <cell r="I6" t="str">
            <v>Domestic</v>
          </cell>
        </row>
        <row r="7">
          <cell r="C7" t="str">
            <v>Tehseenul Islam Siddque</v>
          </cell>
          <cell r="I7" t="str">
            <v xml:space="preserve">Admin </v>
          </cell>
        </row>
        <row r="8">
          <cell r="C8" t="str">
            <v>Rajendra Prasad Vijay</v>
          </cell>
          <cell r="I8" t="str">
            <v xml:space="preserve">Admin </v>
          </cell>
        </row>
        <row r="9">
          <cell r="C9" t="str">
            <v xml:space="preserve">Ravi Panchal </v>
          </cell>
          <cell r="I9" t="str">
            <v>Domestic</v>
          </cell>
        </row>
        <row r="10">
          <cell r="C10" t="str">
            <v>Rupesh Kumar Jha</v>
          </cell>
          <cell r="I10" t="str">
            <v xml:space="preserve">Admin </v>
          </cell>
        </row>
        <row r="11">
          <cell r="C11" t="str">
            <v>Lokesh Sharma</v>
          </cell>
          <cell r="I11" t="str">
            <v>Domestic</v>
          </cell>
        </row>
        <row r="12">
          <cell r="C12" t="str">
            <v>Rajesh Sharma</v>
          </cell>
          <cell r="I12" t="str">
            <v xml:space="preserve">Admin </v>
          </cell>
        </row>
        <row r="13">
          <cell r="C13" t="str">
            <v>Yashodatt Sharma</v>
          </cell>
          <cell r="I13" t="str">
            <v>Manufacturing</v>
          </cell>
        </row>
        <row r="14">
          <cell r="C14" t="str">
            <v>Omprakash Yogi</v>
          </cell>
          <cell r="I14" t="str">
            <v>Domestic</v>
          </cell>
        </row>
        <row r="15">
          <cell r="C15" t="str">
            <v>Naveen Bhaskar</v>
          </cell>
          <cell r="I15" t="str">
            <v>Manufacturing</v>
          </cell>
        </row>
        <row r="16">
          <cell r="C16" t="str">
            <v>Govind Sharma</v>
          </cell>
          <cell r="I16" t="str">
            <v>Manufacturing</v>
          </cell>
        </row>
        <row r="17">
          <cell r="C17" t="str">
            <v>Naresh Kumar Bairwa</v>
          </cell>
          <cell r="I17" t="str">
            <v>Manufacturing</v>
          </cell>
        </row>
        <row r="18">
          <cell r="C18" t="str">
            <v>Sonu Bairwa</v>
          </cell>
          <cell r="I18" t="str">
            <v>Manufacturing</v>
          </cell>
        </row>
        <row r="19">
          <cell r="C19" t="str">
            <v>Mohamad Faizal</v>
          </cell>
          <cell r="I19" t="str">
            <v>Domestic</v>
          </cell>
        </row>
        <row r="20">
          <cell r="C20" t="str">
            <v>Ravi Kumar Bairwa (Tatawat)</v>
          </cell>
          <cell r="I20" t="str">
            <v>Domestic</v>
          </cell>
        </row>
        <row r="21">
          <cell r="C21" t="str">
            <v>Asim Shoyab Khan</v>
          </cell>
          <cell r="I21" t="str">
            <v>Domestic</v>
          </cell>
        </row>
        <row r="22">
          <cell r="C22" t="str">
            <v xml:space="preserve">Peeyush Pareek </v>
          </cell>
          <cell r="I22" t="str">
            <v>D2C</v>
          </cell>
        </row>
        <row r="23">
          <cell r="C23" t="str">
            <v>Shaitan Singh</v>
          </cell>
          <cell r="I23" t="str">
            <v>Manufacturing</v>
          </cell>
        </row>
        <row r="24">
          <cell r="C24" t="str">
            <v>Chakshita Maheshwari</v>
          </cell>
          <cell r="I24" t="str">
            <v>Domestic</v>
          </cell>
        </row>
        <row r="25">
          <cell r="C25" t="str">
            <v>Karishma Kaityar</v>
          </cell>
          <cell r="I25" t="str">
            <v>Overseas</v>
          </cell>
        </row>
        <row r="26">
          <cell r="C26" t="str">
            <v>Surajmal Prajapati</v>
          </cell>
          <cell r="I26" t="str">
            <v xml:space="preserve">Admin </v>
          </cell>
        </row>
        <row r="27">
          <cell r="C27" t="str">
            <v>Padmawati</v>
          </cell>
          <cell r="I27" t="str">
            <v>Manufacturing</v>
          </cell>
        </row>
        <row r="28">
          <cell r="C28" t="str">
            <v>Foranti</v>
          </cell>
          <cell r="I28" t="str">
            <v>Manufacturing</v>
          </cell>
        </row>
        <row r="29">
          <cell r="C29" t="str">
            <v>Sonu Bairwa Tailor</v>
          </cell>
          <cell r="I29" t="str">
            <v>Manufacturing</v>
          </cell>
        </row>
        <row r="30">
          <cell r="C30" t="str">
            <v>Raji Devi</v>
          </cell>
          <cell r="I30" t="str">
            <v>Manufacturing</v>
          </cell>
        </row>
        <row r="31">
          <cell r="C31" t="str">
            <v>Laxman</v>
          </cell>
          <cell r="I31" t="str">
            <v>Manufacturing</v>
          </cell>
        </row>
        <row r="32">
          <cell r="C32" t="str">
            <v>Dilip</v>
          </cell>
          <cell r="I32" t="str">
            <v>Manufacturing</v>
          </cell>
        </row>
        <row r="33">
          <cell r="C33" t="str">
            <v>Furqan Hameed</v>
          </cell>
          <cell r="I33" t="str">
            <v>Overseas</v>
          </cell>
        </row>
        <row r="34">
          <cell r="C34" t="str">
            <v>Riddhi Gupta</v>
          </cell>
          <cell r="I34" t="str">
            <v>D2C</v>
          </cell>
        </row>
        <row r="35">
          <cell r="C35" t="str">
            <v>Safina Khan</v>
          </cell>
          <cell r="I35" t="str">
            <v>Manufacturing</v>
          </cell>
        </row>
        <row r="36">
          <cell r="C36" t="str">
            <v>Gulbatti Meena</v>
          </cell>
          <cell r="I36" t="str">
            <v>Manufacturing</v>
          </cell>
        </row>
        <row r="37">
          <cell r="C37" t="str">
            <v>Manish Kumar Bairwa</v>
          </cell>
          <cell r="I37" t="str">
            <v>Domestic</v>
          </cell>
        </row>
        <row r="38">
          <cell r="C38" t="str">
            <v>Ramswaroop</v>
          </cell>
          <cell r="I38" t="str">
            <v>Manufacturing</v>
          </cell>
        </row>
        <row r="39">
          <cell r="C39" t="str">
            <v>Chhaju Lal Saini</v>
          </cell>
          <cell r="I39" t="str">
            <v>Domestic</v>
          </cell>
        </row>
        <row r="40">
          <cell r="C40" t="str">
            <v>Mahendra Gurjer</v>
          </cell>
          <cell r="I40" t="str">
            <v>Manufacturing</v>
          </cell>
        </row>
        <row r="41">
          <cell r="C41" t="str">
            <v>Jitendra Sharma</v>
          </cell>
          <cell r="I41" t="str">
            <v>Manufacturing</v>
          </cell>
        </row>
        <row r="42">
          <cell r="C42" t="str">
            <v>Santara</v>
          </cell>
          <cell r="I42" t="str">
            <v>Manufacturing</v>
          </cell>
        </row>
        <row r="43">
          <cell r="C43" t="str">
            <v>Rohitash Kumar</v>
          </cell>
          <cell r="I43" t="str">
            <v>Domestic</v>
          </cell>
        </row>
        <row r="44">
          <cell r="C44" t="str">
            <v>Kavita Bai</v>
          </cell>
          <cell r="I44" t="str">
            <v>Manufacturing</v>
          </cell>
        </row>
        <row r="45">
          <cell r="C45" t="str">
            <v>Jitendra Bairwa</v>
          </cell>
          <cell r="I45" t="str">
            <v>Manufacturing</v>
          </cell>
        </row>
        <row r="46">
          <cell r="C46" t="str">
            <v>Vikash Bairwa</v>
          </cell>
          <cell r="I46" t="str">
            <v>Domestic</v>
          </cell>
        </row>
        <row r="47">
          <cell r="C47" t="str">
            <v>Asharam Bairwa</v>
          </cell>
          <cell r="I47" t="str">
            <v>Domestic</v>
          </cell>
        </row>
        <row r="48">
          <cell r="C48" t="str">
            <v>Manjeet Sain</v>
          </cell>
          <cell r="I48" t="str">
            <v>Domestic</v>
          </cell>
        </row>
        <row r="49">
          <cell r="C49" t="str">
            <v>Mohan lal Bairwa</v>
          </cell>
          <cell r="I49" t="str">
            <v>Domestic</v>
          </cell>
        </row>
        <row r="50">
          <cell r="C50" t="str">
            <v>Rahul Bairwa</v>
          </cell>
          <cell r="I50" t="str">
            <v>Domestic</v>
          </cell>
        </row>
        <row r="51">
          <cell r="C51" t="str">
            <v>Raju Lal Bairwa</v>
          </cell>
          <cell r="I51" t="str">
            <v>Domestic</v>
          </cell>
        </row>
        <row r="52">
          <cell r="C52" t="str">
            <v>Kaptaan Singh</v>
          </cell>
          <cell r="I52" t="str">
            <v>Manufacturing</v>
          </cell>
        </row>
        <row r="53">
          <cell r="C53" t="str">
            <v>Mahendra Sharma</v>
          </cell>
          <cell r="I53" t="str">
            <v>Domestic</v>
          </cell>
        </row>
        <row r="54">
          <cell r="C54" t="str">
            <v>Ganesh Meena</v>
          </cell>
          <cell r="I54" t="str">
            <v>Manufacturing</v>
          </cell>
        </row>
        <row r="55">
          <cell r="C55" t="str">
            <v>Jitu Yogi</v>
          </cell>
          <cell r="I55" t="str">
            <v>Manufacturing</v>
          </cell>
        </row>
        <row r="56">
          <cell r="C56" t="str">
            <v>Surendra Tailor</v>
          </cell>
          <cell r="I56" t="str">
            <v>Domestic</v>
          </cell>
        </row>
        <row r="57">
          <cell r="C57" t="str">
            <v>Feliram Bairwa</v>
          </cell>
          <cell r="I57" t="str">
            <v>Domestic</v>
          </cell>
        </row>
        <row r="58">
          <cell r="C58" t="str">
            <v>Vikash Kumar</v>
          </cell>
          <cell r="I58" t="str">
            <v>Domestic</v>
          </cell>
        </row>
        <row r="59">
          <cell r="C59" t="str">
            <v>Ehsaan Khan</v>
          </cell>
          <cell r="I59" t="str">
            <v>Domestic</v>
          </cell>
        </row>
        <row r="60">
          <cell r="C60" t="str">
            <v>Vijay Kumar</v>
          </cell>
          <cell r="I60" t="str">
            <v>Manufacturing</v>
          </cell>
        </row>
        <row r="61">
          <cell r="C61" t="str">
            <v>Suresh Sharma</v>
          </cell>
          <cell r="I61" t="str">
            <v>Domestic</v>
          </cell>
        </row>
        <row r="62">
          <cell r="C62" t="str">
            <v>Mithta Lal Bairwa</v>
          </cell>
          <cell r="I62" t="str">
            <v>Domestic</v>
          </cell>
        </row>
        <row r="63">
          <cell r="C63" t="str">
            <v>Upendra Bairwa</v>
          </cell>
          <cell r="I63" t="str">
            <v>Manufacturing</v>
          </cell>
        </row>
        <row r="64">
          <cell r="C64" t="str">
            <v>Hanuman Sahay Prajapat</v>
          </cell>
          <cell r="I64" t="str">
            <v>Domestic</v>
          </cell>
        </row>
        <row r="65">
          <cell r="C65" t="str">
            <v>Pawan Prajapat</v>
          </cell>
          <cell r="I65" t="str">
            <v>Domestic</v>
          </cell>
        </row>
        <row r="66">
          <cell r="C66" t="str">
            <v>Jabid Husen</v>
          </cell>
          <cell r="I66" t="str">
            <v>Domestic</v>
          </cell>
        </row>
        <row r="67">
          <cell r="C67" t="str">
            <v>Saddam Hussain</v>
          </cell>
          <cell r="I67" t="str">
            <v>Manufacturing</v>
          </cell>
        </row>
        <row r="68">
          <cell r="C68" t="str">
            <v>Ritu Devi</v>
          </cell>
          <cell r="I68" t="str">
            <v>Manufacturing</v>
          </cell>
        </row>
        <row r="69">
          <cell r="C69" t="str">
            <v>Vinod Kumar Bairwa</v>
          </cell>
          <cell r="I69" t="str">
            <v>Domestic</v>
          </cell>
        </row>
        <row r="70">
          <cell r="C70" t="str">
            <v>Ashutosh Bairwa</v>
          </cell>
          <cell r="I70" t="str">
            <v>Overseas</v>
          </cell>
        </row>
        <row r="71">
          <cell r="C71" t="str">
            <v>Rajkumari Tailor</v>
          </cell>
          <cell r="I71" t="str">
            <v>Manufacturing</v>
          </cell>
        </row>
        <row r="72">
          <cell r="C72" t="str">
            <v>Sonu Bairwa</v>
          </cell>
          <cell r="I72" t="str">
            <v>Manufacturing</v>
          </cell>
        </row>
        <row r="73">
          <cell r="C73" t="str">
            <v>Sheru Kumar</v>
          </cell>
          <cell r="I73" t="str">
            <v>Domestic</v>
          </cell>
        </row>
        <row r="74">
          <cell r="C74" t="str">
            <v>Kamlesh Meena</v>
          </cell>
          <cell r="I74" t="str">
            <v>Manufacturing</v>
          </cell>
        </row>
        <row r="75">
          <cell r="C75" t="str">
            <v>Santosh Devi</v>
          </cell>
          <cell r="I75" t="str">
            <v>Manufacturing</v>
          </cell>
        </row>
        <row r="76">
          <cell r="C76" t="str">
            <v>Vikash Bairwa</v>
          </cell>
          <cell r="I76" t="str">
            <v>Domestic</v>
          </cell>
        </row>
        <row r="77">
          <cell r="C77" t="str">
            <v>Buddhi Prakash</v>
          </cell>
          <cell r="I77" t="str">
            <v>Manufacturing</v>
          </cell>
        </row>
        <row r="78">
          <cell r="C78" t="str">
            <v>Tulsi Ram Meena</v>
          </cell>
          <cell r="I78" t="str">
            <v>Manufacturing</v>
          </cell>
        </row>
        <row r="79">
          <cell r="C79" t="str">
            <v>Krishna Rani</v>
          </cell>
          <cell r="I79" t="str">
            <v>Manufacturing</v>
          </cell>
        </row>
        <row r="80">
          <cell r="C80" t="str">
            <v>Vishnu Kumar Yogi</v>
          </cell>
          <cell r="I80" t="str">
            <v>Manufacturing</v>
          </cell>
        </row>
        <row r="81">
          <cell r="C81" t="str">
            <v>Ajay Singh Tiwari</v>
          </cell>
          <cell r="I81" t="str">
            <v>Domestic</v>
          </cell>
        </row>
        <row r="82">
          <cell r="C82" t="str">
            <v>Abhishek Choudhary</v>
          </cell>
          <cell r="I82" t="str">
            <v>Manufacturing</v>
          </cell>
        </row>
        <row r="83">
          <cell r="C83" t="str">
            <v>Mahendra Yogi</v>
          </cell>
          <cell r="I83" t="str">
            <v>Domestic</v>
          </cell>
        </row>
        <row r="84">
          <cell r="C84" t="str">
            <v>Dawlu Kumar</v>
          </cell>
          <cell r="I84" t="str">
            <v>Domestic</v>
          </cell>
        </row>
        <row r="85">
          <cell r="C85" t="str">
            <v>Arti Sharma</v>
          </cell>
          <cell r="I85" t="str">
            <v xml:space="preserve">Admin </v>
          </cell>
        </row>
        <row r="86">
          <cell r="C86" t="str">
            <v>Divya Ranjan</v>
          </cell>
          <cell r="I86" t="str">
            <v>Domestic</v>
          </cell>
        </row>
        <row r="87">
          <cell r="C87" t="str">
            <v>Ramprasad Meena</v>
          </cell>
          <cell r="I87" t="str">
            <v>Manufacturing</v>
          </cell>
        </row>
        <row r="88">
          <cell r="C88" t="str">
            <v>Binni Kumar Bairwa</v>
          </cell>
          <cell r="I88" t="str">
            <v>Domestic</v>
          </cell>
        </row>
        <row r="89">
          <cell r="C89" t="str">
            <v>Rati Ram Mali</v>
          </cell>
          <cell r="I89" t="str">
            <v>Domestic</v>
          </cell>
        </row>
        <row r="90">
          <cell r="C90" t="str">
            <v>Mamta Meena</v>
          </cell>
          <cell r="I90" t="str">
            <v>Manufacturing</v>
          </cell>
        </row>
        <row r="91">
          <cell r="C91" t="str">
            <v>Mamta Saini</v>
          </cell>
          <cell r="I91" t="str">
            <v>Manufacturing</v>
          </cell>
        </row>
        <row r="92">
          <cell r="C92" t="str">
            <v>Mamta Sain</v>
          </cell>
          <cell r="I92" t="str">
            <v>Manufacturing</v>
          </cell>
        </row>
        <row r="93">
          <cell r="C93" t="str">
            <v>Shayari Saini</v>
          </cell>
          <cell r="I93" t="str">
            <v>Manufacturing</v>
          </cell>
        </row>
        <row r="94">
          <cell r="C94" t="str">
            <v>Jatin Arora</v>
          </cell>
          <cell r="I94" t="str">
            <v>Overseas</v>
          </cell>
        </row>
        <row r="95">
          <cell r="C95" t="str">
            <v>Priyanka Meena</v>
          </cell>
          <cell r="I95" t="str">
            <v>Manufacturing</v>
          </cell>
        </row>
        <row r="96">
          <cell r="C96" t="str">
            <v>Rinku Kumar Meena</v>
          </cell>
          <cell r="I96" t="str">
            <v>Manufacturing</v>
          </cell>
        </row>
        <row r="97">
          <cell r="C97" t="str">
            <v>Hari Charan Meena</v>
          </cell>
          <cell r="I97" t="str">
            <v>Manufacturing</v>
          </cell>
        </row>
        <row r="98">
          <cell r="C98" t="str">
            <v>Babali</v>
          </cell>
          <cell r="I98" t="str">
            <v>Manufacturing</v>
          </cell>
        </row>
        <row r="99">
          <cell r="C99" t="str">
            <v>Raghunandan Meena</v>
          </cell>
          <cell r="I99" t="str">
            <v>Manufacturing</v>
          </cell>
        </row>
        <row r="100">
          <cell r="C100" t="str">
            <v>Hansraj Meena</v>
          </cell>
          <cell r="I100" t="str">
            <v>Manufacturing</v>
          </cell>
        </row>
        <row r="101">
          <cell r="C101" t="str">
            <v>Rosanti Bai Meena</v>
          </cell>
          <cell r="I101" t="str">
            <v>Manufacturing</v>
          </cell>
        </row>
        <row r="102">
          <cell r="C102" t="str">
            <v>Sanjay Bairwa</v>
          </cell>
          <cell r="I102" t="str">
            <v>Domestic</v>
          </cell>
        </row>
        <row r="103">
          <cell r="C103" t="str">
            <v>Siyaram Gocher</v>
          </cell>
          <cell r="I103" t="str">
            <v>Domestic</v>
          </cell>
        </row>
        <row r="104">
          <cell r="C104" t="str">
            <v>Krishan Kumar Katoda</v>
          </cell>
          <cell r="I104" t="str">
            <v>Manufacturing</v>
          </cell>
        </row>
        <row r="105">
          <cell r="C105" t="str">
            <v>Madhusudan Mathur</v>
          </cell>
          <cell r="I105" t="str">
            <v>Manufacturing</v>
          </cell>
        </row>
        <row r="106">
          <cell r="C106" t="str">
            <v>Sita Meena</v>
          </cell>
          <cell r="I106" t="str">
            <v>Manufacturing</v>
          </cell>
        </row>
        <row r="107">
          <cell r="C107" t="str">
            <v>Manju Meena</v>
          </cell>
          <cell r="I107" t="str">
            <v>Manufacturing</v>
          </cell>
        </row>
        <row r="108">
          <cell r="C108" t="str">
            <v>Manish Kumar Bairwa</v>
          </cell>
          <cell r="I108" t="str">
            <v>Manufacturing</v>
          </cell>
        </row>
        <row r="109">
          <cell r="C109" t="str">
            <v>Puranmal</v>
          </cell>
          <cell r="I109" t="str">
            <v>Domestic</v>
          </cell>
        </row>
        <row r="110">
          <cell r="C110" t="str">
            <v>Rohit Mehra</v>
          </cell>
          <cell r="I110" t="str">
            <v>Manufacturing</v>
          </cell>
        </row>
        <row r="111">
          <cell r="C111" t="str">
            <v>Vishal</v>
          </cell>
          <cell r="I111" t="str">
            <v>Domestic</v>
          </cell>
        </row>
        <row r="112">
          <cell r="C112" t="str">
            <v>Monu Sain</v>
          </cell>
          <cell r="I112" t="str">
            <v>Manufacturing</v>
          </cell>
        </row>
        <row r="113">
          <cell r="C113" t="str">
            <v>Vikash</v>
          </cell>
          <cell r="I113" t="str">
            <v>Manufacturing</v>
          </cell>
        </row>
        <row r="114">
          <cell r="C114" t="str">
            <v>Daya Ram</v>
          </cell>
          <cell r="I114" t="str">
            <v>Manufacturing</v>
          </cell>
        </row>
        <row r="115">
          <cell r="C115" t="str">
            <v>Harkesh</v>
          </cell>
          <cell r="I115" t="str">
            <v>Overseas</v>
          </cell>
        </row>
        <row r="116">
          <cell r="C116" t="str">
            <v>Amit Gupta</v>
          </cell>
          <cell r="I116" t="str">
            <v>Manufacturing</v>
          </cell>
        </row>
        <row r="117">
          <cell r="C117" t="str">
            <v>Narottam Sharma</v>
          </cell>
          <cell r="I117" t="str">
            <v>Manufacturing</v>
          </cell>
        </row>
        <row r="118">
          <cell r="C118" t="str">
            <v>Nand Kishor</v>
          </cell>
          <cell r="I118" t="str">
            <v>Manufacturing</v>
          </cell>
        </row>
        <row r="119">
          <cell r="C119" t="str">
            <v>Naresh Kumar Mulchandani</v>
          </cell>
          <cell r="I119" t="str">
            <v>Manufacturing</v>
          </cell>
        </row>
        <row r="120">
          <cell r="C120" t="str">
            <v>Bharat Shakya</v>
          </cell>
          <cell r="I120" t="str">
            <v>Manufacturing</v>
          </cell>
        </row>
        <row r="121">
          <cell r="C121" t="str">
            <v>Monik Jain</v>
          </cell>
          <cell r="I121" t="str">
            <v>D2C</v>
          </cell>
        </row>
        <row r="122">
          <cell r="C122" t="str">
            <v>Daya Shankar Bairwa</v>
          </cell>
          <cell r="I122" t="str">
            <v>Domestic</v>
          </cell>
        </row>
        <row r="123">
          <cell r="C123" t="str">
            <v>Priyanka Sain</v>
          </cell>
          <cell r="I123" t="str">
            <v>Manufacturing</v>
          </cell>
        </row>
        <row r="124">
          <cell r="C124" t="str">
            <v>Jitendra Gocher</v>
          </cell>
          <cell r="I124" t="str">
            <v>Manufacturing</v>
          </cell>
        </row>
        <row r="125">
          <cell r="C125" t="str">
            <v>Dil Khush Yogi</v>
          </cell>
          <cell r="I125" t="str">
            <v>Overseas</v>
          </cell>
        </row>
        <row r="126">
          <cell r="C126" t="str">
            <v>Vinod Kumar Meena</v>
          </cell>
          <cell r="I126" t="str">
            <v>Manufacturing</v>
          </cell>
        </row>
        <row r="127">
          <cell r="C127" t="str">
            <v>Ram Lakhan Saini</v>
          </cell>
          <cell r="I127" t="str">
            <v>Domestic</v>
          </cell>
        </row>
        <row r="128">
          <cell r="C128" t="str">
            <v>Vishnu Prajapat</v>
          </cell>
          <cell r="I128" t="str">
            <v>Manufacturing</v>
          </cell>
        </row>
        <row r="129">
          <cell r="C129" t="str">
            <v>Suraj Mal</v>
          </cell>
          <cell r="I129" t="str">
            <v>Overseas</v>
          </cell>
        </row>
        <row r="130">
          <cell r="C130" t="str">
            <v>Vidhya Sharma</v>
          </cell>
          <cell r="I130" t="str">
            <v>Manufacturing</v>
          </cell>
        </row>
        <row r="131">
          <cell r="C131" t="str">
            <v>Mohit Bairwa</v>
          </cell>
          <cell r="I131" t="str">
            <v>Domestic</v>
          </cell>
        </row>
        <row r="132">
          <cell r="C132" t="str">
            <v>Mahaveer Prasad</v>
          </cell>
          <cell r="I132" t="str">
            <v>Manufacturing</v>
          </cell>
        </row>
        <row r="133">
          <cell r="C133" t="str">
            <v>Jagdish</v>
          </cell>
          <cell r="I133" t="str">
            <v>Overseas</v>
          </cell>
        </row>
        <row r="134">
          <cell r="C134" t="str">
            <v>Rekha Meena</v>
          </cell>
          <cell r="I134" t="str">
            <v>Manufacturing</v>
          </cell>
        </row>
        <row r="135">
          <cell r="C135" t="str">
            <v>Rameshi Bai</v>
          </cell>
          <cell r="I135" t="str">
            <v>Manufacturing</v>
          </cell>
        </row>
        <row r="136">
          <cell r="C136" t="str">
            <v>Surendra Thakur</v>
          </cell>
          <cell r="I136" t="str">
            <v>Manufacturing</v>
          </cell>
        </row>
        <row r="137">
          <cell r="C137" t="str">
            <v>Priyanka Bairwa</v>
          </cell>
          <cell r="I137" t="str">
            <v>Manufacturing</v>
          </cell>
        </row>
        <row r="138">
          <cell r="C138" t="str">
            <v>Pooran Saini</v>
          </cell>
          <cell r="I138" t="str">
            <v>Domestic</v>
          </cell>
        </row>
        <row r="139">
          <cell r="C139" t="str">
            <v>Mina Devi</v>
          </cell>
          <cell r="I139" t="str">
            <v>Manufacturing</v>
          </cell>
        </row>
        <row r="140">
          <cell r="C140" t="str">
            <v>Manisha Kumari</v>
          </cell>
          <cell r="I140" t="str">
            <v>Manufacturing</v>
          </cell>
        </row>
        <row r="141">
          <cell r="C141" t="str">
            <v>Shimla Devi</v>
          </cell>
          <cell r="I141" t="str">
            <v>Manufacturing</v>
          </cell>
        </row>
        <row r="142">
          <cell r="C142" t="str">
            <v>Raj Karnta</v>
          </cell>
          <cell r="I142" t="str">
            <v>Manufacturing</v>
          </cell>
        </row>
        <row r="143">
          <cell r="C143" t="str">
            <v>Sitaram Mali</v>
          </cell>
          <cell r="I143" t="str">
            <v>Manufacturing</v>
          </cell>
        </row>
        <row r="144">
          <cell r="C144" t="str">
            <v>Abhishek Gupta</v>
          </cell>
          <cell r="I144" t="str">
            <v>Domestic</v>
          </cell>
        </row>
        <row r="145">
          <cell r="C145" t="str">
            <v>Mahesh Bairwa</v>
          </cell>
          <cell r="I145" t="str">
            <v>Domestic</v>
          </cell>
        </row>
        <row r="146">
          <cell r="C146" t="str">
            <v>Dinesh Bairwa</v>
          </cell>
          <cell r="I146" t="str">
            <v>Domestic</v>
          </cell>
        </row>
        <row r="147">
          <cell r="I147" t="str">
            <v/>
          </cell>
        </row>
      </sheetData>
      <sheetData sheetId="2">
        <row r="1">
          <cell r="C1" t="str">
            <v>Name</v>
          </cell>
          <cell r="I1" t="str">
            <v>Department</v>
          </cell>
        </row>
        <row r="2">
          <cell r="C2" t="str">
            <v>Chanda Ji</v>
          </cell>
          <cell r="I2" t="str">
            <v>Manufacturing</v>
          </cell>
        </row>
        <row r="3">
          <cell r="C3" t="str">
            <v>Surendra Bairwa</v>
          </cell>
          <cell r="I3" t="str">
            <v>Domestic</v>
          </cell>
        </row>
        <row r="4">
          <cell r="C4" t="str">
            <v>Harkesh Kumar Bairwa</v>
          </cell>
          <cell r="I4" t="str">
            <v>Manufacturing</v>
          </cell>
        </row>
        <row r="5">
          <cell r="C5" t="str">
            <v>Mohd. Shoyeb Rangrej</v>
          </cell>
          <cell r="I5" t="str">
            <v>Domestic</v>
          </cell>
        </row>
        <row r="6">
          <cell r="C6" t="str">
            <v>Rizwan Ali Khan</v>
          </cell>
          <cell r="I6" t="str">
            <v>Domestic</v>
          </cell>
        </row>
        <row r="7">
          <cell r="C7" t="str">
            <v>Tehseenul Islam Siddque</v>
          </cell>
          <cell r="I7" t="str">
            <v xml:space="preserve">Admin </v>
          </cell>
        </row>
        <row r="8">
          <cell r="C8" t="str">
            <v>Rajendra Prasad Vijay</v>
          </cell>
          <cell r="I8" t="str">
            <v xml:space="preserve">Admin </v>
          </cell>
        </row>
        <row r="9">
          <cell r="C9" t="str">
            <v xml:space="preserve">Ravi Panchal </v>
          </cell>
          <cell r="I9" t="str">
            <v>Domestic</v>
          </cell>
        </row>
        <row r="10">
          <cell r="C10" t="str">
            <v>Rupesh Kumar Jha</v>
          </cell>
          <cell r="I10" t="str">
            <v xml:space="preserve">Admin </v>
          </cell>
        </row>
        <row r="11">
          <cell r="C11" t="str">
            <v>Lokesh Sharma</v>
          </cell>
          <cell r="I11" t="str">
            <v>Domestic</v>
          </cell>
        </row>
        <row r="12">
          <cell r="C12" t="str">
            <v>Rajesh Sharma</v>
          </cell>
          <cell r="I12" t="str">
            <v xml:space="preserve">Admin </v>
          </cell>
        </row>
        <row r="13">
          <cell r="C13" t="str">
            <v>Yashodatt Sharma</v>
          </cell>
          <cell r="I13" t="str">
            <v>Manufacturing</v>
          </cell>
        </row>
        <row r="14">
          <cell r="C14" t="str">
            <v>Omprakash Yogi</v>
          </cell>
          <cell r="I14" t="str">
            <v>Domestic</v>
          </cell>
        </row>
        <row r="15">
          <cell r="C15" t="str">
            <v>Naveen Bhaskar</v>
          </cell>
          <cell r="I15" t="str">
            <v>Manufacturing</v>
          </cell>
        </row>
        <row r="16">
          <cell r="C16" t="str">
            <v>Govind Sharma</v>
          </cell>
          <cell r="I16" t="str">
            <v>Manufacturing</v>
          </cell>
        </row>
        <row r="17">
          <cell r="C17" t="str">
            <v>Naresh Kumar Bairwa</v>
          </cell>
          <cell r="I17" t="str">
            <v>Manufacturing</v>
          </cell>
        </row>
        <row r="18">
          <cell r="C18" t="str">
            <v>Sonu Bairwa</v>
          </cell>
          <cell r="I18" t="str">
            <v>Manufacturing</v>
          </cell>
        </row>
        <row r="19">
          <cell r="C19" t="str">
            <v>Faizal Rangrej</v>
          </cell>
          <cell r="I19" t="str">
            <v>Domestic</v>
          </cell>
        </row>
        <row r="20">
          <cell r="C20" t="str">
            <v>Ravi Kumar Bairwa (Tatawat)</v>
          </cell>
          <cell r="I20" t="str">
            <v>Domestic</v>
          </cell>
        </row>
        <row r="21">
          <cell r="C21" t="str">
            <v>Asim Shoyab Khan</v>
          </cell>
          <cell r="I21" t="str">
            <v>Domestic</v>
          </cell>
        </row>
        <row r="22">
          <cell r="C22" t="str">
            <v xml:space="preserve">Peeyush Pareek </v>
          </cell>
          <cell r="I22" t="str">
            <v>D2C</v>
          </cell>
        </row>
        <row r="23">
          <cell r="C23" t="str">
            <v>Shaitan Singh</v>
          </cell>
          <cell r="I23" t="str">
            <v>Manufacturing</v>
          </cell>
        </row>
        <row r="24">
          <cell r="C24" t="str">
            <v>Chakshita Maheshwari</v>
          </cell>
          <cell r="I24" t="str">
            <v>Domestic</v>
          </cell>
        </row>
        <row r="25">
          <cell r="C25" t="str">
            <v>Karishma Kaityar</v>
          </cell>
          <cell r="I25" t="str">
            <v>Overseas</v>
          </cell>
        </row>
        <row r="26">
          <cell r="C26" t="str">
            <v>Surajmal Prajapati</v>
          </cell>
          <cell r="I26" t="str">
            <v xml:space="preserve">Admin </v>
          </cell>
        </row>
        <row r="27">
          <cell r="C27" t="str">
            <v>Padmawati</v>
          </cell>
          <cell r="I27" t="str">
            <v>Manufacturing</v>
          </cell>
        </row>
        <row r="28">
          <cell r="C28" t="str">
            <v>Foranti</v>
          </cell>
          <cell r="I28" t="str">
            <v>Manufacturing</v>
          </cell>
        </row>
        <row r="29">
          <cell r="C29" t="str">
            <v>Sonu Bairwa Tailor</v>
          </cell>
          <cell r="I29" t="str">
            <v>Manufacturing</v>
          </cell>
        </row>
        <row r="30">
          <cell r="C30" t="str">
            <v>Raji Devi</v>
          </cell>
          <cell r="I30" t="str">
            <v>Manufacturing</v>
          </cell>
        </row>
        <row r="31">
          <cell r="C31" t="str">
            <v>Laxman</v>
          </cell>
          <cell r="I31" t="str">
            <v>Manufacturing</v>
          </cell>
        </row>
        <row r="32">
          <cell r="C32" t="str">
            <v>Dilip</v>
          </cell>
          <cell r="I32" t="str">
            <v>Manufacturing</v>
          </cell>
        </row>
        <row r="33">
          <cell r="C33" t="str">
            <v>Furqan Hameed</v>
          </cell>
          <cell r="I33" t="str">
            <v>Overseas</v>
          </cell>
        </row>
        <row r="34">
          <cell r="C34" t="str">
            <v>Riddhi Gupta</v>
          </cell>
          <cell r="I34" t="str">
            <v>D2C</v>
          </cell>
        </row>
        <row r="35">
          <cell r="C35" t="str">
            <v>Safina Khan</v>
          </cell>
          <cell r="I35" t="str">
            <v>Manufacturing</v>
          </cell>
        </row>
        <row r="36">
          <cell r="C36" t="str">
            <v>Gulbatti Meena</v>
          </cell>
          <cell r="I36" t="str">
            <v>Manufacturing</v>
          </cell>
        </row>
        <row r="37">
          <cell r="C37" t="str">
            <v>Ajay Singh Tiwari</v>
          </cell>
          <cell r="I37" t="str">
            <v>Domestic</v>
          </cell>
        </row>
        <row r="38">
          <cell r="C38" t="str">
            <v>Divya Ranjan</v>
          </cell>
          <cell r="I38" t="str">
            <v>Domestic</v>
          </cell>
        </row>
        <row r="39">
          <cell r="C39" t="str">
            <v>Mamta Saini</v>
          </cell>
          <cell r="I39" t="str">
            <v>Manufacturing</v>
          </cell>
        </row>
        <row r="40">
          <cell r="C40" t="str">
            <v>Mamta Sain</v>
          </cell>
          <cell r="I40" t="str">
            <v>Manufacturing</v>
          </cell>
        </row>
        <row r="41">
          <cell r="C41" t="str">
            <v>Shayari Saini</v>
          </cell>
          <cell r="I41" t="str">
            <v>Manufacturing</v>
          </cell>
        </row>
        <row r="42">
          <cell r="C42" t="str">
            <v>Jatin Arora</v>
          </cell>
          <cell r="I42" t="str">
            <v>Overseas</v>
          </cell>
        </row>
        <row r="43">
          <cell r="C43" t="str">
            <v>Krishan Kumar Katoda</v>
          </cell>
          <cell r="I43" t="str">
            <v>Manufacturing</v>
          </cell>
        </row>
        <row r="44">
          <cell r="C44" t="str">
            <v>Madhusudan Mathur</v>
          </cell>
          <cell r="I44" t="str">
            <v>Manufacturing</v>
          </cell>
        </row>
        <row r="45">
          <cell r="C45" t="str">
            <v>Monik Jain</v>
          </cell>
          <cell r="I45" t="str">
            <v>D2C</v>
          </cell>
        </row>
        <row r="46">
          <cell r="C46" t="str">
            <v>Kavita Bai</v>
          </cell>
          <cell r="I46" t="str">
            <v>Manufacturing</v>
          </cell>
        </row>
        <row r="47">
          <cell r="C47" t="str">
            <v>Mukesh Bhawarlal Deora</v>
          </cell>
          <cell r="I47" t="str">
            <v xml:space="preserve">Admin </v>
          </cell>
        </row>
        <row r="48">
          <cell r="C48" t="str">
            <v>Sahil Gurnani</v>
          </cell>
          <cell r="I48" t="str">
            <v xml:space="preserve">Admin </v>
          </cell>
        </row>
        <row r="49">
          <cell r="C49" t="str">
            <v>Sunita (Meena)</v>
          </cell>
          <cell r="I49" t="str">
            <v>Manufacturing</v>
          </cell>
        </row>
        <row r="50">
          <cell r="C50" t="str">
            <v>Sohan Lal</v>
          </cell>
          <cell r="I50" t="str">
            <v>Manufacturing</v>
          </cell>
        </row>
        <row r="51">
          <cell r="C51" t="str">
            <v>Mukesh</v>
          </cell>
          <cell r="I51" t="str">
            <v>Manufacturing</v>
          </cell>
        </row>
        <row r="52">
          <cell r="C52" t="str">
            <v>Mamta</v>
          </cell>
          <cell r="I52" t="str">
            <v>Manufacturing</v>
          </cell>
        </row>
        <row r="53">
          <cell r="C53" t="str">
            <v>Manisha Yadav</v>
          </cell>
          <cell r="I53" t="str">
            <v>Manufacturing</v>
          </cell>
        </row>
        <row r="54">
          <cell r="C54" t="str">
            <v>Parvati Devi</v>
          </cell>
          <cell r="I54" t="str">
            <v>Manufacturing</v>
          </cell>
        </row>
        <row r="55">
          <cell r="C55" t="str">
            <v>Gomati</v>
          </cell>
          <cell r="I55" t="str">
            <v>Manufacturing</v>
          </cell>
        </row>
        <row r="56">
          <cell r="C56" t="str">
            <v>Manoj Yogi</v>
          </cell>
          <cell r="I56" t="str">
            <v>Manufacturing</v>
          </cell>
        </row>
        <row r="57">
          <cell r="C57" t="str">
            <v>Sayar</v>
          </cell>
          <cell r="I57" t="str">
            <v>Manufacturing</v>
          </cell>
        </row>
        <row r="58">
          <cell r="C58" t="str">
            <v>Hetram</v>
          </cell>
          <cell r="I58" t="str">
            <v>Manufacturing</v>
          </cell>
        </row>
        <row r="59">
          <cell r="C59" t="str">
            <v>Sunita choudhary</v>
          </cell>
          <cell r="I59" t="str">
            <v>Manufacturing</v>
          </cell>
        </row>
        <row r="60">
          <cell r="C60" t="str">
            <v>Ritik Kumar Bairwa</v>
          </cell>
          <cell r="I60" t="str">
            <v>Manufacturing</v>
          </cell>
        </row>
        <row r="61">
          <cell r="C61" t="str">
            <v>Sangita Dhaked</v>
          </cell>
          <cell r="I61" t="str">
            <v>Manufacturing</v>
          </cell>
        </row>
        <row r="62">
          <cell r="C62" t="str">
            <v>Govind mahawar</v>
          </cell>
          <cell r="I62" t="str">
            <v>Manufacturing</v>
          </cell>
        </row>
        <row r="63">
          <cell r="C63" t="str">
            <v>Dilkhush Bairwa</v>
          </cell>
          <cell r="I63" t="str">
            <v>Manufacturing</v>
          </cell>
        </row>
        <row r="64">
          <cell r="C64" t="str">
            <v>Priya Sain</v>
          </cell>
          <cell r="I64" t="str">
            <v>Manufacturing</v>
          </cell>
        </row>
        <row r="65">
          <cell r="C65" t="str">
            <v>Aeranta Bairwa</v>
          </cell>
          <cell r="I65" t="str">
            <v>Manufacturing</v>
          </cell>
        </row>
        <row r="66">
          <cell r="C66" t="str">
            <v>Sachin Bairwa</v>
          </cell>
          <cell r="I66" t="str">
            <v>Manufacturing</v>
          </cell>
        </row>
        <row r="67">
          <cell r="C67" t="str">
            <v>Radheshyam Bairwa</v>
          </cell>
          <cell r="I67" t="str">
            <v>Manufacturing</v>
          </cell>
        </row>
        <row r="68">
          <cell r="C68" t="str">
            <v>Murli Bai</v>
          </cell>
          <cell r="I68" t="str">
            <v>Manufacturing</v>
          </cell>
        </row>
        <row r="69">
          <cell r="C69" t="str">
            <v>Manju</v>
          </cell>
          <cell r="I69" t="str">
            <v>Manufacturing</v>
          </cell>
        </row>
        <row r="70">
          <cell r="C70" t="str">
            <v>Lali Yogi</v>
          </cell>
          <cell r="I70" t="str">
            <v>Manufacturing</v>
          </cell>
        </row>
        <row r="71">
          <cell r="C71" t="str">
            <v>Rohit Jatwa</v>
          </cell>
          <cell r="I71" t="str">
            <v>Manufacturing</v>
          </cell>
        </row>
        <row r="72">
          <cell r="C72" t="str">
            <v>Rohit Kumar</v>
          </cell>
          <cell r="I72" t="str">
            <v>Manufacturing</v>
          </cell>
        </row>
        <row r="73">
          <cell r="C73" t="str">
            <v>Khushi</v>
          </cell>
          <cell r="I73" t="str">
            <v>Manufacturing</v>
          </cell>
        </row>
        <row r="74">
          <cell r="C74" t="str">
            <v>Mosam Devi</v>
          </cell>
          <cell r="I74" t="str">
            <v>Manufacturing</v>
          </cell>
        </row>
        <row r="75">
          <cell r="C75" t="str">
            <v>Dali Bai</v>
          </cell>
          <cell r="I75" t="str">
            <v>Manufacturing</v>
          </cell>
        </row>
        <row r="76">
          <cell r="C76" t="str">
            <v>Reshama</v>
          </cell>
          <cell r="I76" t="str">
            <v>Manufacturing</v>
          </cell>
        </row>
        <row r="77">
          <cell r="C77" t="str">
            <v>Roshnta Devi</v>
          </cell>
          <cell r="I77" t="str">
            <v>Manufacturing</v>
          </cell>
        </row>
        <row r="78">
          <cell r="C78" t="str">
            <v>Deepak Bairwa</v>
          </cell>
          <cell r="I78" t="str">
            <v>Manufacturing</v>
          </cell>
        </row>
        <row r="79">
          <cell r="C79" t="str">
            <v>RohitRoopchand</v>
          </cell>
          <cell r="I79" t="str">
            <v>Manufacturing</v>
          </cell>
        </row>
        <row r="80">
          <cell r="C80" t="str">
            <v>Manisha</v>
          </cell>
          <cell r="I80" t="str">
            <v>Manufacturing</v>
          </cell>
        </row>
        <row r="81">
          <cell r="C81" t="str">
            <v>Subhash</v>
          </cell>
          <cell r="I81" t="str">
            <v>Manufacturing</v>
          </cell>
        </row>
        <row r="82">
          <cell r="C82" t="str">
            <v>Papita</v>
          </cell>
          <cell r="I82" t="str">
            <v>Manufacturing</v>
          </cell>
        </row>
        <row r="83">
          <cell r="C83" t="str">
            <v>Rohit Mahawar Koli</v>
          </cell>
          <cell r="I83" t="str">
            <v>Manufacturing</v>
          </cell>
        </row>
        <row r="84">
          <cell r="C84" t="str">
            <v>Manish Kumar Bairwa</v>
          </cell>
          <cell r="I84" t="str">
            <v>Domestic</v>
          </cell>
        </row>
        <row r="85">
          <cell r="C85" t="str">
            <v>Ramswaroop</v>
          </cell>
          <cell r="I85" t="str">
            <v>Manufacturing</v>
          </cell>
        </row>
        <row r="86">
          <cell r="C86" t="str">
            <v>Chhaju Lal Saini</v>
          </cell>
          <cell r="I86" t="str">
            <v>Domestic</v>
          </cell>
        </row>
        <row r="87">
          <cell r="C87" t="str">
            <v>Mahendra Gurjer</v>
          </cell>
          <cell r="I87" t="str">
            <v>Manufacturing</v>
          </cell>
        </row>
        <row r="88">
          <cell r="C88" t="str">
            <v>Jitendra Sharma</v>
          </cell>
          <cell r="I88" t="str">
            <v>Manufacturing</v>
          </cell>
        </row>
        <row r="89">
          <cell r="C89" t="str">
            <v>Santara</v>
          </cell>
          <cell r="I89" t="str">
            <v>Manufacturing</v>
          </cell>
        </row>
        <row r="90">
          <cell r="C90" t="str">
            <v>Rohitash Kumar</v>
          </cell>
          <cell r="I90" t="str">
            <v>Domestic</v>
          </cell>
        </row>
        <row r="91">
          <cell r="C91" t="str">
            <v>Ramavtar sharma</v>
          </cell>
          <cell r="I91" t="str">
            <v xml:space="preserve">Admin </v>
          </cell>
        </row>
        <row r="92">
          <cell r="C92" t="str">
            <v>Jitendra Bairwa</v>
          </cell>
          <cell r="I92" t="str">
            <v>Manufacturing</v>
          </cell>
        </row>
        <row r="93">
          <cell r="C93" t="str">
            <v>Vikash Bairwa</v>
          </cell>
          <cell r="I93" t="str">
            <v>Domestic</v>
          </cell>
        </row>
        <row r="94">
          <cell r="C94" t="str">
            <v>Asharam Bairwa</v>
          </cell>
          <cell r="I94" t="str">
            <v>Domestic</v>
          </cell>
        </row>
        <row r="95">
          <cell r="C95" t="str">
            <v>Manjeet Sain</v>
          </cell>
          <cell r="I95" t="str">
            <v>Domestic</v>
          </cell>
        </row>
        <row r="96">
          <cell r="C96" t="str">
            <v>Mohan lal Bairwa</v>
          </cell>
          <cell r="I96" t="str">
            <v>Domestic</v>
          </cell>
        </row>
        <row r="97">
          <cell r="C97" t="str">
            <v>Rahul Bairwa</v>
          </cell>
          <cell r="I97" t="str">
            <v>Domestic</v>
          </cell>
        </row>
        <row r="98">
          <cell r="C98" t="str">
            <v>Raju Lal Bairwa</v>
          </cell>
          <cell r="I98" t="str">
            <v>Domestic</v>
          </cell>
        </row>
        <row r="99">
          <cell r="C99" t="str">
            <v>Kaptaan Singh</v>
          </cell>
          <cell r="I99" t="str">
            <v>Manufacturing</v>
          </cell>
        </row>
        <row r="100">
          <cell r="C100" t="str">
            <v>Mahendra Sharma</v>
          </cell>
          <cell r="I100" t="str">
            <v>Domestic</v>
          </cell>
        </row>
        <row r="101">
          <cell r="C101" t="str">
            <v>Ganesh Meena</v>
          </cell>
          <cell r="I101" t="str">
            <v>Manufacturing</v>
          </cell>
        </row>
        <row r="102">
          <cell r="C102" t="str">
            <v>Jitu Yogi</v>
          </cell>
          <cell r="I102" t="str">
            <v>Manufacturing</v>
          </cell>
        </row>
        <row r="103">
          <cell r="C103" t="str">
            <v>Surendra Tailor</v>
          </cell>
          <cell r="I103" t="str">
            <v>Domestic</v>
          </cell>
        </row>
        <row r="104">
          <cell r="C104" t="str">
            <v>Feliram Bairwa</v>
          </cell>
          <cell r="I104" t="str">
            <v>Domestic</v>
          </cell>
        </row>
        <row r="105">
          <cell r="C105" t="str">
            <v>Vikash Kumar</v>
          </cell>
          <cell r="I105" t="str">
            <v>Domestic</v>
          </cell>
        </row>
        <row r="106">
          <cell r="C106" t="str">
            <v>Ehsaan Khan</v>
          </cell>
          <cell r="I106" t="str">
            <v>Domestic</v>
          </cell>
        </row>
        <row r="107">
          <cell r="C107" t="str">
            <v>Vijay Kumar</v>
          </cell>
          <cell r="I107" t="str">
            <v>Manufacturing</v>
          </cell>
        </row>
        <row r="108">
          <cell r="C108" t="str">
            <v>Suresh Sharma</v>
          </cell>
          <cell r="I108" t="str">
            <v>Domestic</v>
          </cell>
        </row>
        <row r="109">
          <cell r="C109" t="str">
            <v>Mithta Lal Bairwa</v>
          </cell>
          <cell r="I109" t="str">
            <v>Domestic</v>
          </cell>
        </row>
        <row r="110">
          <cell r="C110" t="str">
            <v>Upendra Bairwa</v>
          </cell>
          <cell r="I110" t="str">
            <v>Manufacturing</v>
          </cell>
        </row>
        <row r="111">
          <cell r="C111" t="str">
            <v>Hanuman Sahay Prajapat</v>
          </cell>
          <cell r="I111" t="str">
            <v>Domestic</v>
          </cell>
        </row>
        <row r="112">
          <cell r="C112" t="str">
            <v>Pawan Prajapat</v>
          </cell>
          <cell r="I112" t="str">
            <v>Domestic</v>
          </cell>
        </row>
        <row r="113">
          <cell r="C113" t="str">
            <v>Jabid Husen</v>
          </cell>
          <cell r="I113" t="str">
            <v>Domestic</v>
          </cell>
        </row>
        <row r="114">
          <cell r="C114" t="str">
            <v>Saddam Hussain</v>
          </cell>
          <cell r="I114" t="str">
            <v>Manufacturing</v>
          </cell>
        </row>
        <row r="115">
          <cell r="C115" t="str">
            <v>Ritu Devi</v>
          </cell>
          <cell r="I115" t="str">
            <v>Manufacturing</v>
          </cell>
        </row>
        <row r="116">
          <cell r="C116" t="str">
            <v>Vinod Kumar Bairwa</v>
          </cell>
          <cell r="I116" t="str">
            <v>Domestic</v>
          </cell>
        </row>
        <row r="117">
          <cell r="C117" t="str">
            <v>Ashutosh Bairwa</v>
          </cell>
          <cell r="I117" t="str">
            <v>Overseas</v>
          </cell>
        </row>
        <row r="118">
          <cell r="C118" t="str">
            <v>Rajkumari Tailor</v>
          </cell>
          <cell r="I118" t="str">
            <v>Manufacturing</v>
          </cell>
        </row>
        <row r="119">
          <cell r="C119" t="str">
            <v>Sonu Bairwa</v>
          </cell>
          <cell r="I119" t="str">
            <v>Manufacturing</v>
          </cell>
        </row>
        <row r="120">
          <cell r="C120" t="str">
            <v>Sheru Kumar</v>
          </cell>
          <cell r="I120" t="str">
            <v>Domestic</v>
          </cell>
        </row>
        <row r="121">
          <cell r="C121" t="str">
            <v>Kamlesh Meena</v>
          </cell>
          <cell r="I121" t="str">
            <v>Manufacturing</v>
          </cell>
        </row>
        <row r="122">
          <cell r="C122" t="str">
            <v>Santosh Devi</v>
          </cell>
          <cell r="I122" t="str">
            <v>Manufacturing</v>
          </cell>
        </row>
        <row r="123">
          <cell r="C123" t="str">
            <v>Vikash Bairwa</v>
          </cell>
          <cell r="I123" t="str">
            <v>Domestic</v>
          </cell>
        </row>
        <row r="124">
          <cell r="C124" t="str">
            <v>Buddhi Prakash</v>
          </cell>
          <cell r="I124" t="str">
            <v>Manufacturing</v>
          </cell>
        </row>
        <row r="125">
          <cell r="C125" t="str">
            <v>Tulsi Ram Meena</v>
          </cell>
          <cell r="I125" t="str">
            <v>Manufacturing</v>
          </cell>
        </row>
        <row r="126">
          <cell r="C126" t="str">
            <v>Krishna Rani</v>
          </cell>
          <cell r="I126" t="str">
            <v>Manufacturing</v>
          </cell>
        </row>
        <row r="127">
          <cell r="C127" t="str">
            <v>Vishnu Kumar Yogi</v>
          </cell>
          <cell r="I127" t="str">
            <v>Manufacturing</v>
          </cell>
        </row>
        <row r="128">
          <cell r="C128" t="str">
            <v>Abhishek Choudhary</v>
          </cell>
          <cell r="I128" t="str">
            <v>Manufacturing</v>
          </cell>
        </row>
        <row r="129">
          <cell r="C129" t="str">
            <v>Mahendra Yogi</v>
          </cell>
          <cell r="I129" t="str">
            <v>Domestic</v>
          </cell>
        </row>
        <row r="130">
          <cell r="C130" t="str">
            <v>Dawlu Kumar</v>
          </cell>
          <cell r="I130" t="str">
            <v>Domestic</v>
          </cell>
        </row>
        <row r="131">
          <cell r="C131" t="str">
            <v>Ramprasad Meena</v>
          </cell>
          <cell r="I131" t="str">
            <v>Manufacturing</v>
          </cell>
        </row>
        <row r="132">
          <cell r="C132" t="str">
            <v>Binni Kumar Bairwa</v>
          </cell>
          <cell r="I132" t="str">
            <v>Domestic</v>
          </cell>
        </row>
        <row r="133">
          <cell r="C133" t="str">
            <v>Rati Ram Mali</v>
          </cell>
          <cell r="I133" t="str">
            <v>Domestic</v>
          </cell>
        </row>
        <row r="134">
          <cell r="C134" t="str">
            <v>Mamta Meena</v>
          </cell>
          <cell r="I134" t="str">
            <v>Manufacturing</v>
          </cell>
        </row>
        <row r="135">
          <cell r="C135" t="str">
            <v>Priyanka Meena</v>
          </cell>
          <cell r="I135" t="str">
            <v>Manufacturing</v>
          </cell>
        </row>
        <row r="136">
          <cell r="C136" t="str">
            <v>Rinku Kumar Meena</v>
          </cell>
          <cell r="I136" t="str">
            <v>Manufacturing</v>
          </cell>
        </row>
        <row r="137">
          <cell r="C137" t="str">
            <v>Hari Charan Meena</v>
          </cell>
          <cell r="I137" t="str">
            <v>Manufacturing</v>
          </cell>
        </row>
        <row r="138">
          <cell r="C138" t="str">
            <v>Babali</v>
          </cell>
          <cell r="I138" t="str">
            <v>Manufacturing</v>
          </cell>
        </row>
        <row r="139">
          <cell r="C139" t="str">
            <v>Raghunandan Meena</v>
          </cell>
          <cell r="I139" t="str">
            <v>Manufacturing</v>
          </cell>
        </row>
        <row r="140">
          <cell r="C140" t="str">
            <v>Hansraj Meena</v>
          </cell>
          <cell r="I140" t="str">
            <v>Manufacturing</v>
          </cell>
        </row>
        <row r="141">
          <cell r="C141" t="str">
            <v>Rosanti Bai Meena</v>
          </cell>
          <cell r="I141" t="str">
            <v>Manufacturing</v>
          </cell>
        </row>
        <row r="142">
          <cell r="C142" t="str">
            <v>Sanjay Bairwa</v>
          </cell>
          <cell r="I142" t="str">
            <v>Domestic</v>
          </cell>
        </row>
        <row r="143">
          <cell r="C143" t="str">
            <v>Siyaram Gocher</v>
          </cell>
          <cell r="I143" t="str">
            <v>Domestic</v>
          </cell>
        </row>
        <row r="144">
          <cell r="C144" t="str">
            <v>Sita Meena</v>
          </cell>
          <cell r="I144" t="str">
            <v>Manufacturing</v>
          </cell>
        </row>
        <row r="145">
          <cell r="C145" t="str">
            <v>Manju Meena</v>
          </cell>
          <cell r="I145" t="str">
            <v>Manufacturing</v>
          </cell>
        </row>
      </sheetData>
      <sheetData sheetId="3">
        <row r="1">
          <cell r="C1" t="str">
            <v>Name</v>
          </cell>
          <cell r="I1" t="str">
            <v xml:space="preserve">Admin </v>
          </cell>
        </row>
        <row r="2">
          <cell r="C2" t="str">
            <v>Chanda Ji</v>
          </cell>
          <cell r="I2" t="str">
            <v>Manufacturing</v>
          </cell>
        </row>
        <row r="3">
          <cell r="C3" t="str">
            <v>Surendra Bairwa</v>
          </cell>
          <cell r="I3" t="str">
            <v>Domestic</v>
          </cell>
        </row>
        <row r="4">
          <cell r="C4" t="str">
            <v>Harkesh Kumar Bairwa</v>
          </cell>
          <cell r="I4" t="str">
            <v>Manufacturing</v>
          </cell>
        </row>
        <row r="5">
          <cell r="C5" t="str">
            <v>Mohd. Shoyeb Rangrej</v>
          </cell>
          <cell r="I5" t="str">
            <v>Domestic</v>
          </cell>
        </row>
        <row r="6">
          <cell r="C6" t="str">
            <v>Rizwan Ali Khan</v>
          </cell>
          <cell r="I6" t="str">
            <v>Domestic</v>
          </cell>
        </row>
        <row r="7">
          <cell r="C7" t="str">
            <v>Tehseenul Islam Siddque</v>
          </cell>
          <cell r="I7" t="str">
            <v xml:space="preserve">Admin </v>
          </cell>
        </row>
        <row r="8">
          <cell r="C8" t="str">
            <v>Rajendra Prasad Vijay</v>
          </cell>
          <cell r="I8" t="str">
            <v xml:space="preserve">Admin </v>
          </cell>
        </row>
        <row r="9">
          <cell r="C9" t="str">
            <v xml:space="preserve">Ravi Panchal </v>
          </cell>
          <cell r="I9" t="str">
            <v>Domestic</v>
          </cell>
        </row>
        <row r="10">
          <cell r="C10" t="str">
            <v>Rupesh Kumar Jha</v>
          </cell>
          <cell r="I10" t="str">
            <v xml:space="preserve">Admin </v>
          </cell>
        </row>
        <row r="11">
          <cell r="C11" t="str">
            <v>Lokesh Sharma</v>
          </cell>
          <cell r="I11" t="str">
            <v>Domestic</v>
          </cell>
        </row>
        <row r="12">
          <cell r="C12" t="str">
            <v>Rajesh Sharma</v>
          </cell>
          <cell r="I12" t="str">
            <v xml:space="preserve">Admin </v>
          </cell>
        </row>
        <row r="13">
          <cell r="C13" t="str">
            <v>Yashodatt Sharma</v>
          </cell>
          <cell r="I13" t="str">
            <v>Manufacturing</v>
          </cell>
        </row>
        <row r="14">
          <cell r="C14" t="str">
            <v>Omprakash Yogi</v>
          </cell>
          <cell r="I14" t="str">
            <v>Domestic</v>
          </cell>
        </row>
        <row r="15">
          <cell r="C15" t="str">
            <v>Naveen Bhaskar</v>
          </cell>
          <cell r="I15" t="str">
            <v>Manufacturing</v>
          </cell>
        </row>
        <row r="16">
          <cell r="C16" t="str">
            <v>Govind Sharma</v>
          </cell>
          <cell r="I16" t="str">
            <v>Manufacturing</v>
          </cell>
        </row>
        <row r="17">
          <cell r="C17" t="str">
            <v>Naresh Kumar Bairwa</v>
          </cell>
          <cell r="I17" t="str">
            <v>Manufacturing</v>
          </cell>
        </row>
        <row r="18">
          <cell r="C18" t="str">
            <v>Sonu Bairwa</v>
          </cell>
          <cell r="I18" t="str">
            <v>Manufacturing</v>
          </cell>
        </row>
        <row r="19">
          <cell r="C19" t="str">
            <v>Faizal Rangrej</v>
          </cell>
          <cell r="I19" t="str">
            <v>Domestic</v>
          </cell>
        </row>
        <row r="20">
          <cell r="C20" t="str">
            <v>Ravi Kumar Bairwa (Tatawat)</v>
          </cell>
          <cell r="I20" t="str">
            <v>Domestic</v>
          </cell>
        </row>
        <row r="21">
          <cell r="C21" t="str">
            <v>Asim Shoyab Khan</v>
          </cell>
          <cell r="I21" t="str">
            <v>Domestic</v>
          </cell>
        </row>
        <row r="22">
          <cell r="C22" t="str">
            <v xml:space="preserve">Peeyush Pareek </v>
          </cell>
          <cell r="I22" t="str">
            <v>D2C</v>
          </cell>
        </row>
        <row r="23">
          <cell r="C23" t="str">
            <v>Shaitan Singh</v>
          </cell>
          <cell r="I23" t="str">
            <v>Manufacturing</v>
          </cell>
        </row>
        <row r="24">
          <cell r="C24" t="str">
            <v>Chakshita Maheshwari</v>
          </cell>
          <cell r="I24" t="str">
            <v>Domestic</v>
          </cell>
        </row>
        <row r="25">
          <cell r="C25" t="str">
            <v>Karishma Kaityar</v>
          </cell>
          <cell r="I25" t="str">
            <v>Overseas</v>
          </cell>
        </row>
        <row r="26">
          <cell r="C26" t="str">
            <v>Surajmal Prajapati</v>
          </cell>
          <cell r="I26" t="str">
            <v xml:space="preserve">Admin </v>
          </cell>
        </row>
        <row r="27">
          <cell r="C27" t="str">
            <v>Padmawati</v>
          </cell>
          <cell r="I27" t="str">
            <v>Manufacturing</v>
          </cell>
        </row>
        <row r="28">
          <cell r="C28" t="str">
            <v>Foranti</v>
          </cell>
          <cell r="I28" t="str">
            <v>Manufacturing</v>
          </cell>
        </row>
        <row r="29">
          <cell r="C29" t="str">
            <v>Sonu Bairwa Tailor</v>
          </cell>
          <cell r="I29" t="str">
            <v>Manufacturing</v>
          </cell>
        </row>
        <row r="30">
          <cell r="C30" t="str">
            <v>Raji Devi</v>
          </cell>
          <cell r="I30" t="str">
            <v>Manufacturing</v>
          </cell>
        </row>
        <row r="31">
          <cell r="C31" t="str">
            <v>Laxman</v>
          </cell>
          <cell r="I31" t="str">
            <v>Manufacturing</v>
          </cell>
        </row>
        <row r="32">
          <cell r="C32" t="str">
            <v>Dilip</v>
          </cell>
          <cell r="I32" t="str">
            <v>Manufacturing</v>
          </cell>
        </row>
        <row r="33">
          <cell r="C33" t="str">
            <v>Furqan Hameed</v>
          </cell>
          <cell r="I33" t="str">
            <v>Overseas</v>
          </cell>
        </row>
        <row r="34">
          <cell r="C34" t="str">
            <v>Riddhi Gupta</v>
          </cell>
          <cell r="I34" t="str">
            <v>D2C</v>
          </cell>
        </row>
        <row r="35">
          <cell r="C35" t="str">
            <v>Safina Khan</v>
          </cell>
          <cell r="I35" t="str">
            <v>Manufacturing</v>
          </cell>
        </row>
        <row r="36">
          <cell r="C36" t="str">
            <v>Gulbatti Meena</v>
          </cell>
          <cell r="I36" t="str">
            <v>Manufacturing</v>
          </cell>
        </row>
        <row r="37">
          <cell r="C37" t="str">
            <v>Manish Kumar Bairwa</v>
          </cell>
          <cell r="I37" t="str">
            <v>Domestic</v>
          </cell>
        </row>
        <row r="38">
          <cell r="C38" t="str">
            <v>Ramswaroop</v>
          </cell>
          <cell r="I38" t="str">
            <v>Manufacturing</v>
          </cell>
        </row>
        <row r="39">
          <cell r="C39" t="str">
            <v>Chhaju Lal Saini</v>
          </cell>
          <cell r="I39" t="str">
            <v>Domestic</v>
          </cell>
        </row>
        <row r="40">
          <cell r="C40" t="str">
            <v>Mahendra Gurjer</v>
          </cell>
          <cell r="I40" t="str">
            <v>Manufacturing</v>
          </cell>
        </row>
        <row r="41">
          <cell r="C41" t="str">
            <v>Jitendra Sharma</v>
          </cell>
          <cell r="I41" t="str">
            <v>Manufacturing</v>
          </cell>
        </row>
        <row r="42">
          <cell r="C42" t="str">
            <v>Santara</v>
          </cell>
          <cell r="I42" t="str">
            <v>Manufacturing</v>
          </cell>
        </row>
        <row r="43">
          <cell r="C43" t="str">
            <v>Rohitash Kumar</v>
          </cell>
          <cell r="I43" t="str">
            <v>Domestic</v>
          </cell>
        </row>
        <row r="44">
          <cell r="C44" t="str">
            <v>Ramavtar sharma</v>
          </cell>
          <cell r="I44" t="str">
            <v xml:space="preserve">Admin </v>
          </cell>
        </row>
        <row r="45">
          <cell r="C45" t="str">
            <v>Jitendra Bairwa</v>
          </cell>
          <cell r="I45" t="str">
            <v>Manufacturing</v>
          </cell>
        </row>
        <row r="46">
          <cell r="C46" t="str">
            <v>Vikash Bairwa</v>
          </cell>
          <cell r="I46" t="str">
            <v>Domestic</v>
          </cell>
        </row>
        <row r="47">
          <cell r="C47" t="str">
            <v>Asharam Bairwa</v>
          </cell>
          <cell r="I47" t="str">
            <v>Domestic</v>
          </cell>
        </row>
        <row r="48">
          <cell r="C48" t="str">
            <v>Manjeet Sain</v>
          </cell>
          <cell r="I48" t="str">
            <v>Domestic</v>
          </cell>
        </row>
        <row r="49">
          <cell r="C49" t="str">
            <v>Mohan lal Bairwa</v>
          </cell>
          <cell r="I49" t="str">
            <v>Domestic</v>
          </cell>
        </row>
        <row r="50">
          <cell r="C50" t="str">
            <v>Rahul Bairwa</v>
          </cell>
          <cell r="I50" t="str">
            <v>Domestic</v>
          </cell>
        </row>
        <row r="51">
          <cell r="C51" t="str">
            <v>Raju Lal Bairwa</v>
          </cell>
          <cell r="I51" t="str">
            <v>Domestic</v>
          </cell>
        </row>
        <row r="52">
          <cell r="C52" t="str">
            <v>Kaptaan Singh</v>
          </cell>
          <cell r="I52" t="str">
            <v>Manufacturing</v>
          </cell>
        </row>
        <row r="53">
          <cell r="C53" t="str">
            <v>Mahendra Sharma</v>
          </cell>
          <cell r="I53" t="str">
            <v>Domestic</v>
          </cell>
        </row>
        <row r="54">
          <cell r="C54" t="str">
            <v>Jitu Yogi</v>
          </cell>
          <cell r="I54" t="str">
            <v>Manufacturing</v>
          </cell>
        </row>
        <row r="55">
          <cell r="C55" t="str">
            <v>Surendra Tailor</v>
          </cell>
          <cell r="I55" t="str">
            <v>Domestic</v>
          </cell>
        </row>
        <row r="56">
          <cell r="C56" t="str">
            <v>Feliram Bairwa</v>
          </cell>
          <cell r="I56" t="str">
            <v>Domestic</v>
          </cell>
        </row>
        <row r="57">
          <cell r="C57" t="str">
            <v>Vikash Kumar</v>
          </cell>
          <cell r="I57" t="str">
            <v>Domestic</v>
          </cell>
        </row>
        <row r="58">
          <cell r="C58" t="str">
            <v>Ehsaan Khan</v>
          </cell>
          <cell r="I58" t="str">
            <v>Domestic</v>
          </cell>
        </row>
        <row r="59">
          <cell r="C59" t="str">
            <v>Suresh Sharma</v>
          </cell>
          <cell r="I59" t="str">
            <v>Domestic</v>
          </cell>
        </row>
        <row r="60">
          <cell r="C60" t="str">
            <v>Mithta Lal Bairwa</v>
          </cell>
          <cell r="I60" t="str">
            <v>Domestic</v>
          </cell>
        </row>
        <row r="61">
          <cell r="C61" t="str">
            <v>Upendra Bairwa</v>
          </cell>
          <cell r="I61" t="str">
            <v>Manufacturing</v>
          </cell>
        </row>
        <row r="62">
          <cell r="C62" t="str">
            <v>Hanuman Sahay Prajapat</v>
          </cell>
          <cell r="I62" t="str">
            <v>Domestic</v>
          </cell>
        </row>
        <row r="63">
          <cell r="C63" t="str">
            <v>Pawan Prajapat</v>
          </cell>
          <cell r="I63" t="str">
            <v>Domestic</v>
          </cell>
        </row>
        <row r="64">
          <cell r="C64" t="str">
            <v>Jabid Husen</v>
          </cell>
          <cell r="I64" t="str">
            <v>Domestic</v>
          </cell>
        </row>
        <row r="65">
          <cell r="C65" t="str">
            <v>Saddam Hussain</v>
          </cell>
          <cell r="I65" t="str">
            <v>Manufacturing</v>
          </cell>
        </row>
        <row r="66">
          <cell r="C66" t="str">
            <v>Ritu Devi</v>
          </cell>
          <cell r="I66" t="str">
            <v>Manufacturing</v>
          </cell>
        </row>
        <row r="67">
          <cell r="C67" t="str">
            <v>Vinod Kumar Bairwa</v>
          </cell>
          <cell r="I67" t="str">
            <v>Domestic</v>
          </cell>
        </row>
        <row r="68">
          <cell r="C68" t="str">
            <v>Ashutosh Bairwa</v>
          </cell>
          <cell r="I68" t="str">
            <v>Overseas</v>
          </cell>
        </row>
        <row r="69">
          <cell r="C69" t="str">
            <v>Rajkumari Tailor</v>
          </cell>
          <cell r="I69" t="str">
            <v>Manufacturing</v>
          </cell>
        </row>
        <row r="70">
          <cell r="C70" t="str">
            <v>Sonu Bairwa</v>
          </cell>
          <cell r="I70" t="str">
            <v>Manufacturing</v>
          </cell>
        </row>
        <row r="71">
          <cell r="C71" t="str">
            <v>Sheru Kumar</v>
          </cell>
          <cell r="I71" t="str">
            <v>Domestic</v>
          </cell>
        </row>
        <row r="72">
          <cell r="C72" t="str">
            <v>Kamlesh Meena</v>
          </cell>
          <cell r="I72" t="str">
            <v>Manufacturing</v>
          </cell>
        </row>
        <row r="73">
          <cell r="C73" t="str">
            <v>Santosh Devi</v>
          </cell>
          <cell r="I73" t="str">
            <v>Manufacturing</v>
          </cell>
        </row>
        <row r="74">
          <cell r="C74" t="str">
            <v>Vikash Bairwa</v>
          </cell>
          <cell r="I74" t="str">
            <v>Domestic</v>
          </cell>
        </row>
        <row r="75">
          <cell r="C75" t="str">
            <v>Buddhi Prakash</v>
          </cell>
          <cell r="I75" t="str">
            <v>Manufacturing</v>
          </cell>
        </row>
        <row r="76">
          <cell r="C76" t="str">
            <v>Tulsi Ram Meena</v>
          </cell>
          <cell r="I76" t="str">
            <v>Manufacturing</v>
          </cell>
        </row>
        <row r="77">
          <cell r="C77" t="str">
            <v>Krishna Rani</v>
          </cell>
          <cell r="I77" t="str">
            <v>Manufacturing</v>
          </cell>
        </row>
        <row r="78">
          <cell r="C78" t="str">
            <v>Vishnu Kumar Yogi</v>
          </cell>
          <cell r="I78" t="str">
            <v>Manufacturing</v>
          </cell>
        </row>
        <row r="79">
          <cell r="C79" t="str">
            <v>Ajay Singh Tiwari</v>
          </cell>
          <cell r="I79" t="str">
            <v>Domestic</v>
          </cell>
        </row>
        <row r="80">
          <cell r="C80" t="str">
            <v>Abhishek Choudhary</v>
          </cell>
          <cell r="I80" t="str">
            <v>Manufacturing</v>
          </cell>
        </row>
        <row r="81">
          <cell r="C81" t="str">
            <v>Mahendra Yogi</v>
          </cell>
          <cell r="I81" t="str">
            <v>Domestic</v>
          </cell>
        </row>
        <row r="82">
          <cell r="C82" t="str">
            <v>Ramprasad Meena</v>
          </cell>
          <cell r="I82" t="str">
            <v>Manufacturing</v>
          </cell>
        </row>
        <row r="83">
          <cell r="C83" t="str">
            <v>Binni Kumar Bairwa</v>
          </cell>
          <cell r="I83" t="str">
            <v>Domestic</v>
          </cell>
        </row>
        <row r="84">
          <cell r="C84" t="str">
            <v>Rati Ram Mali</v>
          </cell>
          <cell r="I84" t="str">
            <v>Domestic</v>
          </cell>
        </row>
        <row r="85">
          <cell r="C85" t="str">
            <v>Mamta Meena</v>
          </cell>
          <cell r="I85" t="str">
            <v>Manufacturing</v>
          </cell>
        </row>
        <row r="86">
          <cell r="C86" t="str">
            <v>Mamta Saini</v>
          </cell>
          <cell r="I86" t="str">
            <v>Manufacturing</v>
          </cell>
        </row>
        <row r="87">
          <cell r="C87" t="str">
            <v>Mamta Sain</v>
          </cell>
          <cell r="I87" t="str">
            <v>Manufacturing</v>
          </cell>
        </row>
        <row r="88">
          <cell r="C88" t="str">
            <v>Shayari Saini</v>
          </cell>
          <cell r="I88" t="str">
            <v>Manufacturing</v>
          </cell>
        </row>
        <row r="89">
          <cell r="C89" t="str">
            <v>Jatin Arora</v>
          </cell>
          <cell r="I89" t="str">
            <v>Overseas</v>
          </cell>
        </row>
        <row r="90">
          <cell r="C90" t="str">
            <v>Priyanka Meena</v>
          </cell>
          <cell r="I90" t="str">
            <v>Manufacturing</v>
          </cell>
        </row>
        <row r="91">
          <cell r="C91" t="str">
            <v>Rinku Kumar Meena</v>
          </cell>
          <cell r="I91" t="str">
            <v>Manufacturing</v>
          </cell>
        </row>
        <row r="92">
          <cell r="C92" t="str">
            <v>Hari Charan Meena</v>
          </cell>
          <cell r="I92" t="str">
            <v>Manufacturing</v>
          </cell>
        </row>
        <row r="93">
          <cell r="C93" t="str">
            <v>Babali</v>
          </cell>
          <cell r="I93" t="str">
            <v>Manufacturing</v>
          </cell>
        </row>
        <row r="94">
          <cell r="C94" t="str">
            <v>Raghunandan Meena</v>
          </cell>
          <cell r="I94" t="str">
            <v>Manufacturing</v>
          </cell>
        </row>
        <row r="95">
          <cell r="C95" t="str">
            <v>Hansraj Meena</v>
          </cell>
          <cell r="I95" t="str">
            <v>Manufacturing</v>
          </cell>
        </row>
        <row r="96">
          <cell r="C96" t="str">
            <v>Rosanti Bai Meena</v>
          </cell>
          <cell r="I96" t="str">
            <v>Manufacturing</v>
          </cell>
        </row>
        <row r="97">
          <cell r="C97" t="str">
            <v>Siyaram Gocher</v>
          </cell>
          <cell r="I97" t="str">
            <v>Domestic</v>
          </cell>
        </row>
        <row r="98">
          <cell r="C98" t="str">
            <v>Krishan Kumar Katoda</v>
          </cell>
          <cell r="I98" t="str">
            <v>Manufacturing</v>
          </cell>
        </row>
        <row r="99">
          <cell r="C99" t="str">
            <v>Sita Meena</v>
          </cell>
          <cell r="I99" t="str">
            <v>Manufacturing</v>
          </cell>
        </row>
        <row r="100">
          <cell r="C100" t="str">
            <v>Manju Meena</v>
          </cell>
          <cell r="I100" t="str">
            <v>Manufacturing</v>
          </cell>
        </row>
        <row r="101">
          <cell r="C101" t="str">
            <v>Vishal</v>
          </cell>
          <cell r="I101" t="str">
            <v>Domestic</v>
          </cell>
        </row>
        <row r="102">
          <cell r="C102" t="str">
            <v>Vikash</v>
          </cell>
          <cell r="I102" t="str">
            <v>Manufacturing</v>
          </cell>
        </row>
        <row r="103">
          <cell r="C103" t="str">
            <v>Daya Ram</v>
          </cell>
          <cell r="I103" t="str">
            <v>Manufacturing</v>
          </cell>
        </row>
        <row r="104">
          <cell r="C104" t="str">
            <v>Harkesh</v>
          </cell>
          <cell r="I104" t="str">
            <v>Overseas</v>
          </cell>
        </row>
        <row r="105">
          <cell r="C105" t="str">
            <v>Narottam Sharma</v>
          </cell>
          <cell r="I105" t="str">
            <v>Manufacturing</v>
          </cell>
        </row>
        <row r="106">
          <cell r="C106" t="str">
            <v>Nand Kishor</v>
          </cell>
          <cell r="I106" t="str">
            <v>Manufacturing</v>
          </cell>
        </row>
        <row r="107">
          <cell r="C107" t="str">
            <v>Bharat Shakya</v>
          </cell>
          <cell r="I107" t="str">
            <v>Manufacturing</v>
          </cell>
        </row>
        <row r="108">
          <cell r="C108" t="str">
            <v>Monik Jain</v>
          </cell>
          <cell r="I108" t="str">
            <v>D2C</v>
          </cell>
        </row>
        <row r="109">
          <cell r="C109" t="str">
            <v>Daya Shankar Bairwa</v>
          </cell>
          <cell r="I109" t="str">
            <v>Domestic</v>
          </cell>
        </row>
        <row r="110">
          <cell r="C110" t="str">
            <v>Priyanka Sain</v>
          </cell>
          <cell r="I110" t="str">
            <v>Manufacturing</v>
          </cell>
        </row>
        <row r="111">
          <cell r="C111" t="str">
            <v>Jitendra Gocher</v>
          </cell>
          <cell r="I111" t="str">
            <v>Manufacturing</v>
          </cell>
        </row>
        <row r="112">
          <cell r="C112" t="str">
            <v>Dil Khush Yogi</v>
          </cell>
          <cell r="I112" t="str">
            <v>Overseas</v>
          </cell>
        </row>
        <row r="113">
          <cell r="C113" t="str">
            <v>Vinod Kumar Meena</v>
          </cell>
          <cell r="I113" t="str">
            <v>Domestic</v>
          </cell>
        </row>
        <row r="114">
          <cell r="C114" t="str">
            <v>Ram Lakhan Saini</v>
          </cell>
          <cell r="I114" t="str">
            <v>Domestic</v>
          </cell>
        </row>
        <row r="115">
          <cell r="C115" t="str">
            <v>Vishnu Prajapat</v>
          </cell>
          <cell r="I115" t="str">
            <v>Domestic</v>
          </cell>
        </row>
        <row r="116">
          <cell r="C116" t="str">
            <v>Suraj Mal</v>
          </cell>
          <cell r="I116" t="str">
            <v>Overseas</v>
          </cell>
        </row>
        <row r="117">
          <cell r="C117" t="str">
            <v>Vidhya Sharma</v>
          </cell>
          <cell r="I117" t="str">
            <v>Manufacturing</v>
          </cell>
        </row>
        <row r="118">
          <cell r="C118" t="str">
            <v>Mahaveer Prasad</v>
          </cell>
          <cell r="I118" t="str">
            <v>Manufacturing</v>
          </cell>
        </row>
        <row r="119">
          <cell r="C119" t="str">
            <v>Jagdish</v>
          </cell>
          <cell r="I119" t="str">
            <v>Overseas</v>
          </cell>
        </row>
        <row r="120">
          <cell r="C120" t="str">
            <v>Rekha Meena</v>
          </cell>
          <cell r="I120" t="str">
            <v>Manufacturing</v>
          </cell>
        </row>
        <row r="121">
          <cell r="C121" t="str">
            <v>Rameshi Bai</v>
          </cell>
          <cell r="I121" t="str">
            <v>Manufacturing</v>
          </cell>
        </row>
        <row r="122">
          <cell r="C122" t="str">
            <v>Surendra Thakur</v>
          </cell>
          <cell r="I122" t="str">
            <v>Manufacturing</v>
          </cell>
        </row>
        <row r="123">
          <cell r="C123" t="str">
            <v>Priyanka Bairwa</v>
          </cell>
          <cell r="I123" t="str">
            <v>Manufacturing</v>
          </cell>
        </row>
        <row r="124">
          <cell r="C124" t="str">
            <v>Pooran Saini</v>
          </cell>
          <cell r="I124" t="str">
            <v>Domestic</v>
          </cell>
        </row>
        <row r="125">
          <cell r="C125" t="str">
            <v>Mina Devi</v>
          </cell>
          <cell r="I125" t="str">
            <v>Manufacturing</v>
          </cell>
        </row>
        <row r="126">
          <cell r="C126" t="str">
            <v>Manisha Kumari</v>
          </cell>
          <cell r="I126" t="str">
            <v>Manufacturing</v>
          </cell>
        </row>
        <row r="127">
          <cell r="C127" t="str">
            <v>Shimla Devi</v>
          </cell>
          <cell r="I127" t="str">
            <v>Manufacturing</v>
          </cell>
        </row>
        <row r="128">
          <cell r="C128" t="str">
            <v>Raj Karnta</v>
          </cell>
          <cell r="I128" t="str">
            <v>Manufacturing</v>
          </cell>
        </row>
        <row r="129">
          <cell r="C129" t="str">
            <v>Sitaram Mali</v>
          </cell>
          <cell r="I129" t="str">
            <v>Manufacturing</v>
          </cell>
        </row>
        <row r="130">
          <cell r="C130" t="str">
            <v>Kavita Bai</v>
          </cell>
          <cell r="I130" t="str">
            <v>Manufacturing</v>
          </cell>
        </row>
        <row r="131">
          <cell r="C131" t="str">
            <v>Mukesh Bhawarlal Deora</v>
          </cell>
          <cell r="I131" t="str">
            <v xml:space="preserve">Admin </v>
          </cell>
        </row>
        <row r="132">
          <cell r="C132" t="str">
            <v>Sahil Gurnani</v>
          </cell>
          <cell r="I132" t="str">
            <v xml:space="preserve">Admin </v>
          </cell>
        </row>
        <row r="133">
          <cell r="C133" t="str">
            <v>Rakhi Sharma</v>
          </cell>
          <cell r="I133" t="str">
            <v>Manufacturing</v>
          </cell>
        </row>
        <row r="134">
          <cell r="C134" t="str">
            <v>Vinod Kumar</v>
          </cell>
          <cell r="I134" t="str">
            <v>Manufacturing</v>
          </cell>
        </row>
        <row r="135">
          <cell r="C135" t="str">
            <v>Krishna Benarji</v>
          </cell>
          <cell r="I135" t="str">
            <v>Manufacturing</v>
          </cell>
        </row>
        <row r="136">
          <cell r="C136" t="str">
            <v>Ashma Begam</v>
          </cell>
          <cell r="I136" t="str">
            <v>Manufacturing</v>
          </cell>
        </row>
        <row r="137">
          <cell r="C137" t="str">
            <v>Adesh Kumar</v>
          </cell>
          <cell r="I137" t="str">
            <v>Domestic</v>
          </cell>
        </row>
        <row r="138">
          <cell r="C138" t="str">
            <v>Kamlesh Meena</v>
          </cell>
          <cell r="I138" t="str">
            <v>Manufacturing</v>
          </cell>
        </row>
        <row r="139">
          <cell r="C139" t="str">
            <v>Pinki Meena</v>
          </cell>
          <cell r="I139" t="str">
            <v>Manufacturing</v>
          </cell>
        </row>
        <row r="140">
          <cell r="C140" t="str">
            <v>Govind Sharma</v>
          </cell>
          <cell r="I140" t="str">
            <v>Manufacturing</v>
          </cell>
        </row>
        <row r="141">
          <cell r="C141" t="str">
            <v>R+F156+C141:J+C137:F141</v>
          </cell>
          <cell r="I141" t="str">
            <v>Domestic</v>
          </cell>
        </row>
        <row r="142">
          <cell r="C142" t="str">
            <v>Vishnu Puri</v>
          </cell>
          <cell r="I142" t="str">
            <v>Manufacturing</v>
          </cell>
        </row>
        <row r="143">
          <cell r="C143" t="str">
            <v>Sunita (Meena)</v>
          </cell>
          <cell r="I143" t="str">
            <v>Manufacturing</v>
          </cell>
        </row>
        <row r="144">
          <cell r="C144" t="str">
            <v>Sohan Lal</v>
          </cell>
          <cell r="I144" t="str">
            <v>Manufacturing</v>
          </cell>
        </row>
        <row r="145">
          <cell r="C145" t="str">
            <v>Mukesh</v>
          </cell>
          <cell r="I145" t="str">
            <v>Manufacturing</v>
          </cell>
        </row>
        <row r="146">
          <cell r="C146" t="str">
            <v>Mamta</v>
          </cell>
          <cell r="I146" t="str">
            <v>Manufacturing</v>
          </cell>
        </row>
        <row r="147">
          <cell r="C147" t="str">
            <v>Manisha Yadav</v>
          </cell>
          <cell r="I147" t="str">
            <v>Manufacturing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23E67-B310-4A2A-905F-CF03A7D82F54}">
  <dimension ref="A1:M239"/>
  <sheetViews>
    <sheetView zoomScale="57" zoomScaleNormal="85" workbookViewId="0">
      <selection activeCell="M17" sqref="M17"/>
    </sheetView>
  </sheetViews>
  <sheetFormatPr defaultColWidth="12.6640625" defaultRowHeight="14.4" x14ac:dyDescent="0.3"/>
  <cols>
    <col min="3" max="3" width="25.21875" bestFit="1" customWidth="1"/>
    <col min="4" max="4" width="16.77734375" customWidth="1"/>
    <col min="5" max="5" width="27" bestFit="1" customWidth="1"/>
    <col min="7" max="7" width="14.33203125" customWidth="1"/>
    <col min="8" max="8" width="22.21875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10" t="s">
        <v>569</v>
      </c>
      <c r="E1" s="2" t="s">
        <v>4</v>
      </c>
      <c r="F1" s="2" t="s">
        <v>3</v>
      </c>
      <c r="G1" s="2" t="s">
        <v>5</v>
      </c>
      <c r="H1" s="2" t="s">
        <v>6</v>
      </c>
      <c r="I1" s="2" t="s">
        <v>562</v>
      </c>
      <c r="J1" s="2" t="s">
        <v>563</v>
      </c>
      <c r="K1" s="2" t="s">
        <v>559</v>
      </c>
    </row>
    <row r="2" spans="1:13" x14ac:dyDescent="0.3">
      <c r="A2" s="1">
        <v>1</v>
      </c>
      <c r="B2" s="1">
        <v>1</v>
      </c>
      <c r="C2" s="1" t="s">
        <v>7</v>
      </c>
      <c r="D2" s="9" t="s">
        <v>564</v>
      </c>
      <c r="E2" s="1" t="s">
        <v>8</v>
      </c>
      <c r="F2" s="1" t="str">
        <f>_xlfn.XLOOKUP(B2,'February 2025'!B:B,'February 2025'!F:F)</f>
        <v>Manufacturing</v>
      </c>
      <c r="G2" s="1">
        <v>10300</v>
      </c>
      <c r="H2" s="1">
        <v>9142</v>
      </c>
      <c r="I2" s="1">
        <v>1170</v>
      </c>
      <c r="J2" s="1">
        <v>335</v>
      </c>
      <c r="K2" s="1" t="str">
        <f>_xlfn.XLOOKUP(C2,'February 2025'!C:C,'February 2025'!K:K)</f>
        <v>L-9</v>
      </c>
    </row>
    <row r="3" spans="1:13" x14ac:dyDescent="0.3">
      <c r="A3" s="1">
        <v>2</v>
      </c>
      <c r="B3" s="1">
        <v>2</v>
      </c>
      <c r="C3" s="1" t="s">
        <v>9</v>
      </c>
      <c r="D3" s="9" t="s">
        <v>564</v>
      </c>
      <c r="E3" s="1" t="s">
        <v>10</v>
      </c>
      <c r="F3" s="1" t="s">
        <v>504</v>
      </c>
      <c r="G3" s="1">
        <v>20500</v>
      </c>
      <c r="H3" s="1">
        <v>18870</v>
      </c>
      <c r="I3" s="1">
        <v>1599</v>
      </c>
      <c r="J3" s="1">
        <v>667</v>
      </c>
      <c r="K3" s="1" t="str">
        <f>_xlfn.XLOOKUP(C3,'February 2025'!C:C,'February 2025'!K:K)</f>
        <v>L-8</v>
      </c>
    </row>
    <row r="4" spans="1:13" x14ac:dyDescent="0.3">
      <c r="A4" s="1">
        <v>3</v>
      </c>
      <c r="B4" s="1">
        <v>3</v>
      </c>
      <c r="C4" s="1" t="s">
        <v>11</v>
      </c>
      <c r="D4" s="9" t="s">
        <v>564</v>
      </c>
      <c r="E4" s="1" t="s">
        <v>12</v>
      </c>
      <c r="F4" s="1" t="str">
        <f>_xlfn.XLOOKUP(B4,'February 2025'!B:B,'February 2025'!F:F)</f>
        <v>Manufacturing</v>
      </c>
      <c r="G4" s="1">
        <v>27500</v>
      </c>
      <c r="H4" s="1">
        <v>27500</v>
      </c>
      <c r="I4" s="1">
        <v>0</v>
      </c>
      <c r="J4" s="1">
        <v>0</v>
      </c>
      <c r="K4" s="1" t="str">
        <f>_xlfn.XLOOKUP(C4,'February 2025'!C:C,'February 2025'!K:K)</f>
        <v>L-9</v>
      </c>
    </row>
    <row r="5" spans="1:13" x14ac:dyDescent="0.3">
      <c r="A5" s="1">
        <v>4</v>
      </c>
      <c r="B5" s="1">
        <v>4</v>
      </c>
      <c r="C5" s="1" t="s">
        <v>13</v>
      </c>
      <c r="D5" s="9" t="s">
        <v>564</v>
      </c>
      <c r="E5" s="1" t="s">
        <v>10</v>
      </c>
      <c r="F5" s="1" t="s">
        <v>504</v>
      </c>
      <c r="G5" s="1">
        <v>20625</v>
      </c>
      <c r="H5" s="1">
        <v>18737.439999999999</v>
      </c>
      <c r="I5" s="1">
        <v>1877</v>
      </c>
      <c r="J5" s="1">
        <v>671</v>
      </c>
      <c r="K5" s="1" t="str">
        <f>_xlfn.XLOOKUP(C5,'February 2025'!C:C,'February 2025'!K:K)</f>
        <v>L-6</v>
      </c>
    </row>
    <row r="6" spans="1:13" x14ac:dyDescent="0.3">
      <c r="A6" s="1">
        <v>5</v>
      </c>
      <c r="B6" s="1">
        <v>5</v>
      </c>
      <c r="C6" s="1" t="s">
        <v>15</v>
      </c>
      <c r="D6" s="9" t="s">
        <v>565</v>
      </c>
      <c r="E6" s="1" t="s">
        <v>10</v>
      </c>
      <c r="F6" s="1" t="str">
        <f>_xlfn.XLOOKUP(C6,'[1]January 2025'!$C:$C,'[1]January 2025'!$I:$I,"")</f>
        <v>Domestic</v>
      </c>
      <c r="G6" s="1">
        <v>33200</v>
      </c>
      <c r="H6" s="1">
        <v>31400</v>
      </c>
      <c r="I6" s="1">
        <v>1950</v>
      </c>
      <c r="J6" s="1">
        <v>0</v>
      </c>
      <c r="K6" s="1" t="str">
        <f>_xlfn.XLOOKUP(C6,'February 2025'!C:C,'February 2025'!K:K)</f>
        <v>L-6</v>
      </c>
    </row>
    <row r="7" spans="1:13" x14ac:dyDescent="0.3">
      <c r="A7" s="1">
        <v>6</v>
      </c>
      <c r="B7" s="1">
        <v>6</v>
      </c>
      <c r="C7" s="1" t="s">
        <v>16</v>
      </c>
      <c r="D7" s="9" t="s">
        <v>564</v>
      </c>
      <c r="E7" s="1" t="s">
        <v>17</v>
      </c>
      <c r="F7" s="1" t="str">
        <f>_xlfn.XLOOKUP(B7,'February 2025'!B:B,'February 2025'!F:F)</f>
        <v xml:space="preserve">Admin </v>
      </c>
      <c r="G7" s="1">
        <v>62500</v>
      </c>
      <c r="H7" s="1">
        <v>62500</v>
      </c>
      <c r="I7" s="1">
        <v>0</v>
      </c>
      <c r="J7" s="1">
        <v>0</v>
      </c>
      <c r="K7" s="1" t="str">
        <f>_xlfn.XLOOKUP(C7,'February 2025'!C:C,'February 2025'!K:K)</f>
        <v>L-5</v>
      </c>
    </row>
    <row r="8" spans="1:13" x14ac:dyDescent="0.3">
      <c r="A8" s="1">
        <v>7</v>
      </c>
      <c r="B8" s="1">
        <v>7</v>
      </c>
      <c r="C8" s="1" t="s">
        <v>18</v>
      </c>
      <c r="D8" s="9" t="s">
        <v>564</v>
      </c>
      <c r="E8" s="3" t="s">
        <v>19</v>
      </c>
      <c r="F8" s="1" t="str">
        <f>_xlfn.XLOOKUP(B8,'February 2025'!B:B,'February 2025'!F:F)</f>
        <v xml:space="preserve">Admin </v>
      </c>
      <c r="G8" s="1">
        <v>48000</v>
      </c>
      <c r="H8" s="1">
        <v>48000</v>
      </c>
      <c r="I8" s="1">
        <v>0</v>
      </c>
      <c r="J8" s="1">
        <v>0</v>
      </c>
      <c r="K8" s="1" t="str">
        <f>_xlfn.XLOOKUP(C8,'February 2025'!C:C,'February 2025'!K:K)</f>
        <v>L-5</v>
      </c>
      <c r="M8" t="s">
        <v>264</v>
      </c>
    </row>
    <row r="9" spans="1:13" x14ac:dyDescent="0.3">
      <c r="A9" s="1">
        <v>8</v>
      </c>
      <c r="B9" s="1">
        <v>8</v>
      </c>
      <c r="C9" s="1" t="s">
        <v>20</v>
      </c>
      <c r="D9" s="9" t="s">
        <v>564</v>
      </c>
      <c r="E9" s="1" t="s">
        <v>21</v>
      </c>
      <c r="F9" s="1" t="s">
        <v>501</v>
      </c>
      <c r="G9" s="1">
        <v>18225</v>
      </c>
      <c r="H9" s="1">
        <v>16775.8</v>
      </c>
      <c r="I9" s="1">
        <v>1422</v>
      </c>
      <c r="J9" s="1">
        <v>593</v>
      </c>
      <c r="K9" s="1" t="s">
        <v>556</v>
      </c>
    </row>
    <row r="10" spans="1:13" x14ac:dyDescent="0.3">
      <c r="A10" s="1">
        <v>9</v>
      </c>
      <c r="B10" s="1">
        <v>9</v>
      </c>
      <c r="C10" s="1" t="s">
        <v>22</v>
      </c>
      <c r="D10" s="9" t="s">
        <v>564</v>
      </c>
      <c r="E10" s="1" t="s">
        <v>23</v>
      </c>
      <c r="F10" s="1" t="str">
        <f>_xlfn.XLOOKUP(B10,'February 2025'!B:B,'February 2025'!F:F)</f>
        <v>Domestic</v>
      </c>
      <c r="G10" s="1">
        <v>14800</v>
      </c>
      <c r="H10" s="1">
        <v>13613.8</v>
      </c>
      <c r="I10" s="1">
        <v>1165</v>
      </c>
      <c r="J10" s="1">
        <v>481</v>
      </c>
      <c r="K10" s="1" t="str">
        <f>_xlfn.XLOOKUP(C10,'February 2025'!C:C,'February 2025'!K:K)</f>
        <v>L-9</v>
      </c>
    </row>
    <row r="11" spans="1:13" x14ac:dyDescent="0.3">
      <c r="A11" s="1">
        <v>10</v>
      </c>
      <c r="B11" s="1">
        <v>10</v>
      </c>
      <c r="C11" s="1" t="s">
        <v>24</v>
      </c>
      <c r="D11" s="9" t="s">
        <v>564</v>
      </c>
      <c r="E11" s="1" t="s">
        <v>10</v>
      </c>
      <c r="F11" s="1" t="s">
        <v>501</v>
      </c>
      <c r="G11" s="1">
        <v>34300</v>
      </c>
      <c r="H11" s="1">
        <v>34300</v>
      </c>
      <c r="I11" s="1">
        <v>0</v>
      </c>
      <c r="J11" s="1">
        <v>0</v>
      </c>
      <c r="K11" s="1" t="s">
        <v>556</v>
      </c>
    </row>
    <row r="12" spans="1:13" x14ac:dyDescent="0.3">
      <c r="A12" s="1">
        <v>11</v>
      </c>
      <c r="B12" s="1">
        <v>11</v>
      </c>
      <c r="C12" s="1" t="s">
        <v>25</v>
      </c>
      <c r="D12" s="9" t="s">
        <v>564</v>
      </c>
      <c r="E12" s="1" t="s">
        <v>26</v>
      </c>
      <c r="F12" s="1" t="str">
        <f>_xlfn.XLOOKUP(B12,'February 2025'!B:B,'February 2025'!F:F)</f>
        <v xml:space="preserve">Admin </v>
      </c>
      <c r="G12" s="1">
        <v>22000</v>
      </c>
      <c r="H12" s="1">
        <v>20200</v>
      </c>
      <c r="I12" s="1">
        <v>1950</v>
      </c>
      <c r="J12" s="1">
        <v>0</v>
      </c>
      <c r="K12" s="1" t="str">
        <f>_xlfn.XLOOKUP(C12,'February 2025'!C:C,'February 2025'!K:K)</f>
        <v>L-6</v>
      </c>
    </row>
    <row r="13" spans="1:13" x14ac:dyDescent="0.3">
      <c r="A13" s="1">
        <v>12</v>
      </c>
      <c r="B13" s="1">
        <v>16</v>
      </c>
      <c r="C13" s="1" t="s">
        <v>27</v>
      </c>
      <c r="D13" s="9" t="s">
        <v>564</v>
      </c>
      <c r="E13" s="1" t="s">
        <v>28</v>
      </c>
      <c r="F13" s="1" t="str">
        <f>_xlfn.XLOOKUP(B13,'February 2025'!B:B,'February 2025'!F:F)</f>
        <v>Domestic</v>
      </c>
      <c r="G13" s="1">
        <v>29000</v>
      </c>
      <c r="H13" s="1">
        <v>29000</v>
      </c>
      <c r="I13" s="1">
        <v>0</v>
      </c>
      <c r="J13" s="1">
        <v>0</v>
      </c>
      <c r="K13" s="1" t="s">
        <v>553</v>
      </c>
    </row>
    <row r="14" spans="1:13" x14ac:dyDescent="0.3">
      <c r="A14" s="1">
        <v>13</v>
      </c>
      <c r="B14" s="1">
        <v>13</v>
      </c>
      <c r="C14" s="1" t="s">
        <v>29</v>
      </c>
      <c r="D14" s="9" t="s">
        <v>564</v>
      </c>
      <c r="E14" s="1" t="s">
        <v>10</v>
      </c>
      <c r="F14" s="1" t="str">
        <f>_xlfn.XLOOKUP(B14,'February 2025'!B:B,'February 2025'!F:F)</f>
        <v>Domestic</v>
      </c>
      <c r="G14" s="1">
        <v>14500</v>
      </c>
      <c r="H14" s="1">
        <v>13341</v>
      </c>
      <c r="I14" s="1">
        <v>1138</v>
      </c>
      <c r="J14" s="1">
        <v>472</v>
      </c>
      <c r="K14" s="1" t="str">
        <f>_xlfn.XLOOKUP(C14,'February 2025'!C:C,'February 2025'!K:K)</f>
        <v>L-7</v>
      </c>
    </row>
    <row r="15" spans="1:13" x14ac:dyDescent="0.3">
      <c r="A15" s="1">
        <v>14</v>
      </c>
      <c r="B15" s="1">
        <v>14</v>
      </c>
      <c r="C15" s="1" t="s">
        <v>30</v>
      </c>
      <c r="D15" s="9" t="s">
        <v>564</v>
      </c>
      <c r="E15" s="1" t="s">
        <v>31</v>
      </c>
      <c r="F15" s="1" t="str">
        <f>_xlfn.XLOOKUP(B15,'February 2025'!B:B,'February 2025'!F:F)</f>
        <v>Office Support</v>
      </c>
      <c r="G15" s="1">
        <v>15400</v>
      </c>
      <c r="H15" s="1">
        <v>14175.2</v>
      </c>
      <c r="I15" s="1">
        <v>1201</v>
      </c>
      <c r="J15" s="1">
        <v>501</v>
      </c>
      <c r="K15" s="1" t="str">
        <f>_xlfn.XLOOKUP(C15,'February 2025'!C:C,'February 2025'!K:K)</f>
        <v>L-10</v>
      </c>
    </row>
    <row r="16" spans="1:13" x14ac:dyDescent="0.3">
      <c r="A16" s="1">
        <v>15</v>
      </c>
      <c r="B16" s="1">
        <v>15</v>
      </c>
      <c r="C16" s="1" t="s">
        <v>32</v>
      </c>
      <c r="D16" s="9" t="s">
        <v>564</v>
      </c>
      <c r="E16" s="1" t="s">
        <v>33</v>
      </c>
      <c r="F16" s="1" t="str">
        <f>_xlfn.XLOOKUP(B16,'February 2025'!B:B,'February 2025'!F:F)</f>
        <v>Manufacturing</v>
      </c>
      <c r="G16" s="1">
        <v>20000</v>
      </c>
      <c r="H16" s="1">
        <v>18410</v>
      </c>
      <c r="I16" s="1">
        <v>1560</v>
      </c>
      <c r="J16" s="1">
        <v>650</v>
      </c>
      <c r="K16" s="1" t="str">
        <f>_xlfn.XLOOKUP(C16,'February 2025'!C:C,'February 2025'!K:K)</f>
        <v>L-9</v>
      </c>
    </row>
    <row r="17" spans="1:11" x14ac:dyDescent="0.3">
      <c r="A17" s="1">
        <v>16</v>
      </c>
      <c r="B17" s="1">
        <v>16</v>
      </c>
      <c r="C17" s="1" t="s">
        <v>34</v>
      </c>
      <c r="D17" s="9" t="s">
        <v>564</v>
      </c>
      <c r="E17" s="1" t="s">
        <v>35</v>
      </c>
      <c r="F17" s="1" t="str">
        <f>_xlfn.XLOOKUP(B17,'February 2025'!B:B,'February 2025'!F:F)</f>
        <v>Domestic</v>
      </c>
      <c r="G17" s="1">
        <v>14063</v>
      </c>
      <c r="H17" s="1">
        <v>12775.708000000001</v>
      </c>
      <c r="I17" s="1">
        <v>1280</v>
      </c>
      <c r="J17" s="1">
        <v>458</v>
      </c>
      <c r="K17" s="1" t="str">
        <f>_xlfn.XLOOKUP(C17,'February 2025'!C:C,'February 2025'!K:K)</f>
        <v>L-9</v>
      </c>
    </row>
    <row r="18" spans="1:11" x14ac:dyDescent="0.3">
      <c r="A18" s="1">
        <v>17</v>
      </c>
      <c r="B18" s="1">
        <v>17</v>
      </c>
      <c r="C18" s="1" t="s">
        <v>36</v>
      </c>
      <c r="D18" s="9" t="s">
        <v>564</v>
      </c>
      <c r="E18" s="1" t="s">
        <v>21</v>
      </c>
      <c r="F18" s="1" t="str">
        <f>_xlfn.XLOOKUP(B18,'February 2025'!B:B,'February 2025'!F:F)</f>
        <v>Manufacturing</v>
      </c>
      <c r="G18" s="1">
        <v>17500</v>
      </c>
      <c r="H18" s="1">
        <v>16108</v>
      </c>
      <c r="I18" s="1">
        <v>1365</v>
      </c>
      <c r="J18" s="1">
        <v>569</v>
      </c>
      <c r="K18" s="1" t="str">
        <f>_xlfn.XLOOKUP(C18,'February 2025'!C:C,'February 2025'!K:K)</f>
        <v>L-9</v>
      </c>
    </row>
    <row r="19" spans="1:11" x14ac:dyDescent="0.3">
      <c r="A19" s="1">
        <v>18</v>
      </c>
      <c r="B19" s="1">
        <v>18</v>
      </c>
      <c r="C19" s="1" t="s">
        <v>37</v>
      </c>
      <c r="D19" s="9" t="s">
        <v>564</v>
      </c>
      <c r="E19" s="1" t="s">
        <v>10</v>
      </c>
      <c r="F19" s="1" t="s">
        <v>501</v>
      </c>
      <c r="G19" s="1">
        <v>17000</v>
      </c>
      <c r="H19" s="1">
        <v>15648</v>
      </c>
      <c r="I19" s="1">
        <v>1326</v>
      </c>
      <c r="J19" s="1">
        <v>553</v>
      </c>
      <c r="K19" s="1" t="s">
        <v>554</v>
      </c>
    </row>
    <row r="20" spans="1:11" x14ac:dyDescent="0.3">
      <c r="A20" s="1">
        <v>19</v>
      </c>
      <c r="B20" s="1">
        <v>19</v>
      </c>
      <c r="C20" s="1" t="s">
        <v>38</v>
      </c>
      <c r="D20" s="9" t="s">
        <v>564</v>
      </c>
      <c r="E20" s="1" t="s">
        <v>35</v>
      </c>
      <c r="F20" s="1" t="str">
        <f>_xlfn.XLOOKUP(B20,'February 2025'!B:B,'February 2025'!F:F)</f>
        <v>Manufacturing</v>
      </c>
      <c r="G20" s="1">
        <v>14000</v>
      </c>
      <c r="H20" s="1">
        <v>12887</v>
      </c>
      <c r="I20" s="1">
        <v>1092</v>
      </c>
      <c r="J20" s="1">
        <v>455</v>
      </c>
      <c r="K20" s="1" t="str">
        <f>_xlfn.XLOOKUP(C20,'February 2025'!C:C,'February 2025'!K:K)</f>
        <v>L-9</v>
      </c>
    </row>
    <row r="21" spans="1:11" x14ac:dyDescent="0.3">
      <c r="A21" s="1">
        <v>20</v>
      </c>
      <c r="B21" s="1">
        <v>20</v>
      </c>
      <c r="C21" s="1" t="s">
        <v>39</v>
      </c>
      <c r="D21" s="9" t="s">
        <v>564</v>
      </c>
      <c r="E21" s="1" t="s">
        <v>35</v>
      </c>
      <c r="F21" s="1" t="str">
        <f>_xlfn.XLOOKUP(C21,'[1]January 2025'!$C:$C,'[1]January 2025'!$I:$I,"")</f>
        <v>Manufacturing</v>
      </c>
      <c r="G21" s="1">
        <v>14500</v>
      </c>
      <c r="H21" s="1">
        <v>13173</v>
      </c>
      <c r="I21" s="1">
        <v>1320</v>
      </c>
      <c r="J21" s="1">
        <v>472</v>
      </c>
      <c r="K21" s="1" t="str">
        <f>_xlfn.XLOOKUP(C21,'February 2025'!C:C,'February 2025'!K:K)</f>
        <v>L-9</v>
      </c>
    </row>
    <row r="22" spans="1:11" x14ac:dyDescent="0.3">
      <c r="A22" s="1">
        <v>21</v>
      </c>
      <c r="B22" s="1">
        <v>21</v>
      </c>
      <c r="C22" s="1" t="s">
        <v>40</v>
      </c>
      <c r="D22" s="9" t="s">
        <v>564</v>
      </c>
      <c r="E22" s="1" t="s">
        <v>41</v>
      </c>
      <c r="F22" s="1" t="str">
        <f>_xlfn.XLOOKUP(B22,'February 2025'!B:B,'February 2025'!F:F)</f>
        <v>Manufacturing</v>
      </c>
      <c r="G22" s="1">
        <v>22000</v>
      </c>
      <c r="H22" s="1">
        <v>20416</v>
      </c>
      <c r="I22" s="1">
        <v>1716</v>
      </c>
      <c r="J22" s="1">
        <v>0</v>
      </c>
      <c r="K22" s="1" t="str">
        <f>_xlfn.XLOOKUP(C22,'February 2025'!C:C,'February 2025'!K:K)</f>
        <v>L-8</v>
      </c>
    </row>
    <row r="23" spans="1:11" x14ac:dyDescent="0.3">
      <c r="A23" s="1">
        <v>22</v>
      </c>
      <c r="B23" s="1">
        <v>22</v>
      </c>
      <c r="C23" s="1" t="s">
        <v>14</v>
      </c>
      <c r="D23" s="9" t="s">
        <v>564</v>
      </c>
      <c r="E23" s="1" t="s">
        <v>42</v>
      </c>
      <c r="F23" s="1" t="str">
        <f>_xlfn.XLOOKUP(B23,'February 2025'!B:B,'February 2025'!F:F)</f>
        <v>Domestic</v>
      </c>
      <c r="G23" s="1">
        <v>68200</v>
      </c>
      <c r="H23" s="1">
        <v>66400</v>
      </c>
      <c r="I23" s="1">
        <v>1950</v>
      </c>
      <c r="J23" s="1">
        <v>0</v>
      </c>
      <c r="K23" s="1" t="s">
        <v>552</v>
      </c>
    </row>
    <row r="24" spans="1:11" x14ac:dyDescent="0.3">
      <c r="A24" s="1">
        <v>23</v>
      </c>
      <c r="B24" s="1">
        <v>23</v>
      </c>
      <c r="C24" s="1" t="s">
        <v>43</v>
      </c>
      <c r="D24" s="9" t="s">
        <v>564</v>
      </c>
      <c r="E24" s="1" t="s">
        <v>12</v>
      </c>
      <c r="F24" s="1" t="s">
        <v>501</v>
      </c>
      <c r="G24" s="1">
        <v>26000</v>
      </c>
      <c r="H24" s="1">
        <v>24284</v>
      </c>
      <c r="I24" s="1">
        <v>1859</v>
      </c>
      <c r="J24" s="1">
        <v>0</v>
      </c>
      <c r="K24" s="1" t="s">
        <v>556</v>
      </c>
    </row>
    <row r="25" spans="1:11" x14ac:dyDescent="0.3">
      <c r="A25" s="1">
        <v>24</v>
      </c>
      <c r="B25" s="1">
        <v>24</v>
      </c>
      <c r="C25" s="1" t="s">
        <v>44</v>
      </c>
      <c r="D25" s="9" t="s">
        <v>564</v>
      </c>
      <c r="E25" s="1" t="s">
        <v>10</v>
      </c>
      <c r="F25" s="1" t="str">
        <f>_xlfn.XLOOKUP(B25,'February 2025'!B:B,'February 2025'!F:F)</f>
        <v>Domestic</v>
      </c>
      <c r="G25" s="1">
        <v>14000</v>
      </c>
      <c r="H25" s="1">
        <v>12702.2</v>
      </c>
      <c r="I25" s="1">
        <v>1292</v>
      </c>
      <c r="J25" s="1">
        <v>455</v>
      </c>
      <c r="K25" s="1" t="str">
        <f>_xlfn.XLOOKUP(C25,'February 2025'!C:C,'February 2025'!K:K)</f>
        <v>L-8</v>
      </c>
    </row>
    <row r="26" spans="1:11" x14ac:dyDescent="0.3">
      <c r="A26" s="1">
        <v>25</v>
      </c>
      <c r="B26" s="1">
        <v>30</v>
      </c>
      <c r="C26" s="1" t="s">
        <v>45</v>
      </c>
      <c r="D26" s="9" t="s">
        <v>564</v>
      </c>
      <c r="E26" s="1" t="s">
        <v>41</v>
      </c>
      <c r="F26" s="1" t="s">
        <v>501</v>
      </c>
      <c r="G26" s="1">
        <v>28000</v>
      </c>
      <c r="H26" s="1">
        <v>28000</v>
      </c>
      <c r="I26" s="1">
        <v>0</v>
      </c>
      <c r="J26" s="1">
        <v>0</v>
      </c>
      <c r="K26" s="1" t="s">
        <v>555</v>
      </c>
    </row>
    <row r="27" spans="1:11" x14ac:dyDescent="0.3">
      <c r="A27" s="1">
        <v>26</v>
      </c>
      <c r="B27" s="1">
        <v>31</v>
      </c>
      <c r="C27" s="1" t="s">
        <v>46</v>
      </c>
      <c r="D27" s="9" t="s">
        <v>564</v>
      </c>
      <c r="E27" s="1" t="s">
        <v>47</v>
      </c>
      <c r="F27" s="1" t="s">
        <v>496</v>
      </c>
      <c r="G27" s="1">
        <v>40000</v>
      </c>
      <c r="H27" s="1">
        <v>40000</v>
      </c>
      <c r="I27" s="1">
        <v>0</v>
      </c>
      <c r="J27" s="1">
        <v>0</v>
      </c>
      <c r="K27" s="1" t="s">
        <v>553</v>
      </c>
    </row>
    <row r="28" spans="1:11" x14ac:dyDescent="0.3">
      <c r="A28" s="1">
        <v>27</v>
      </c>
      <c r="B28" s="1">
        <v>27</v>
      </c>
      <c r="C28" s="1" t="s">
        <v>48</v>
      </c>
      <c r="D28" s="9" t="s">
        <v>564</v>
      </c>
      <c r="E28" s="1" t="s">
        <v>10</v>
      </c>
      <c r="F28" s="1" t="str">
        <f>_xlfn.XLOOKUP(B28,'February 2025'!B:B,'February 2025'!F:F)</f>
        <v>Domestic</v>
      </c>
      <c r="G28" s="1">
        <v>20625</v>
      </c>
      <c r="H28" s="1">
        <v>18737.439999999999</v>
      </c>
      <c r="I28" s="1">
        <v>1877</v>
      </c>
      <c r="J28" s="1">
        <v>671</v>
      </c>
      <c r="K28" s="1" t="str">
        <f>_xlfn.XLOOKUP(C28,'February 2025'!C:C,'February 2025'!K:K)</f>
        <v>L-6</v>
      </c>
    </row>
    <row r="29" spans="1:11" x14ac:dyDescent="0.3">
      <c r="A29" s="1">
        <v>28</v>
      </c>
      <c r="B29" s="1">
        <v>33</v>
      </c>
      <c r="C29" s="1" t="s">
        <v>49</v>
      </c>
      <c r="D29" s="9" t="s">
        <v>564</v>
      </c>
      <c r="E29" s="1" t="s">
        <v>50</v>
      </c>
      <c r="F29" s="1" t="str">
        <f>_xlfn.XLOOKUP(B29,'February 2025'!B:B,'February 2025'!F:F)</f>
        <v>D2C</v>
      </c>
      <c r="G29" s="1">
        <v>80000</v>
      </c>
      <c r="H29" s="1">
        <v>78200</v>
      </c>
      <c r="I29" s="1">
        <v>1950</v>
      </c>
      <c r="J29" s="1">
        <v>0</v>
      </c>
      <c r="K29" s="1" t="s">
        <v>552</v>
      </c>
    </row>
    <row r="30" spans="1:11" x14ac:dyDescent="0.3">
      <c r="A30" s="1">
        <v>29</v>
      </c>
      <c r="B30" s="1">
        <v>29</v>
      </c>
      <c r="C30" s="1" t="s">
        <v>51</v>
      </c>
      <c r="D30" s="9" t="s">
        <v>564</v>
      </c>
      <c r="E30" s="1" t="s">
        <v>42</v>
      </c>
      <c r="F30" s="1" t="str">
        <f>_xlfn.XLOOKUP(C30,'[1]January 2025'!$C:$C,'[1]January 2025'!$I:$I,"")</f>
        <v>D2C</v>
      </c>
      <c r="G30" s="1">
        <v>63200</v>
      </c>
      <c r="H30" s="1">
        <v>61400</v>
      </c>
      <c r="I30" s="1">
        <v>1950</v>
      </c>
      <c r="J30" s="1">
        <v>0</v>
      </c>
      <c r="K30" s="1" t="str">
        <f>_xlfn.XLOOKUP(C30,'February 2025'!C:C,'February 2025'!K:K)</f>
        <v>L-5</v>
      </c>
    </row>
    <row r="31" spans="1:11" x14ac:dyDescent="0.3">
      <c r="A31" s="1">
        <v>30</v>
      </c>
      <c r="B31" s="1">
        <v>19</v>
      </c>
      <c r="C31" s="1" t="s">
        <v>52</v>
      </c>
      <c r="D31" s="9" t="s">
        <v>564</v>
      </c>
      <c r="E31" s="1" t="s">
        <v>53</v>
      </c>
      <c r="F31" s="1" t="str">
        <f>_xlfn.XLOOKUP(B31,'February 2025'!B:B,'February 2025'!F:F)</f>
        <v>Manufacturing</v>
      </c>
      <c r="G31" s="1">
        <v>11000</v>
      </c>
      <c r="H31" s="1">
        <v>9837</v>
      </c>
      <c r="I31" s="1">
        <v>1170</v>
      </c>
      <c r="J31" s="1">
        <v>358</v>
      </c>
      <c r="K31" s="1" t="s">
        <v>557</v>
      </c>
    </row>
    <row r="32" spans="1:11" x14ac:dyDescent="0.3">
      <c r="A32" s="1">
        <v>31</v>
      </c>
      <c r="B32" s="1">
        <v>31</v>
      </c>
      <c r="C32" s="1" t="s">
        <v>54</v>
      </c>
      <c r="D32" s="9" t="s">
        <v>564</v>
      </c>
      <c r="E32" s="1" t="s">
        <v>55</v>
      </c>
      <c r="F32" s="1" t="s">
        <v>501</v>
      </c>
      <c r="G32" s="1">
        <v>15000</v>
      </c>
      <c r="H32" s="1">
        <v>13663</v>
      </c>
      <c r="I32" s="1">
        <v>1326</v>
      </c>
      <c r="J32" s="1">
        <v>488</v>
      </c>
      <c r="K32" s="1" t="s">
        <v>554</v>
      </c>
    </row>
    <row r="33" spans="1:11" x14ac:dyDescent="0.3">
      <c r="A33" s="1">
        <v>32</v>
      </c>
      <c r="B33" s="1">
        <v>32</v>
      </c>
      <c r="C33" s="1" t="s">
        <v>56</v>
      </c>
      <c r="D33" s="9" t="s">
        <v>564</v>
      </c>
      <c r="E33" s="1" t="s">
        <v>41</v>
      </c>
      <c r="F33" s="1" t="str">
        <f>_xlfn.XLOOKUP(C33,'[1]January 2025'!$C:$C,'[1]January 2025'!$I:$I,"")</f>
        <v>Manufacturing</v>
      </c>
      <c r="G33" s="1">
        <v>24000</v>
      </c>
      <c r="H33" s="1">
        <v>24000</v>
      </c>
      <c r="I33" s="1">
        <v>0</v>
      </c>
      <c r="J33" s="1">
        <v>0</v>
      </c>
      <c r="K33" s="1" t="str">
        <f>_xlfn.XLOOKUP(C33,'February 2025'!C:C,'February 2025'!K:K)</f>
        <v>L-8</v>
      </c>
    </row>
    <row r="34" spans="1:11" x14ac:dyDescent="0.3">
      <c r="A34" s="1">
        <v>33</v>
      </c>
      <c r="B34" s="1">
        <v>33</v>
      </c>
      <c r="C34" s="1" t="s">
        <v>57</v>
      </c>
      <c r="D34" s="9" t="s">
        <v>564</v>
      </c>
      <c r="E34" s="1" t="s">
        <v>58</v>
      </c>
      <c r="F34" s="1" t="str">
        <f>_xlfn.XLOOKUP(B34,'February 2025'!B:B,'February 2025'!F:F)</f>
        <v>D2C</v>
      </c>
      <c r="G34" s="1">
        <v>31000</v>
      </c>
      <c r="H34" s="1">
        <v>31000</v>
      </c>
      <c r="I34" s="1">
        <v>0</v>
      </c>
      <c r="J34" s="1">
        <v>0</v>
      </c>
      <c r="K34" s="1" t="str">
        <f>_xlfn.XLOOKUP(C34,'February 2025'!C:C,'February 2025'!K:K)</f>
        <v>L-6</v>
      </c>
    </row>
    <row r="35" spans="1:11" x14ac:dyDescent="0.3">
      <c r="A35" s="1">
        <v>34</v>
      </c>
      <c r="B35" s="1">
        <v>37</v>
      </c>
      <c r="C35" s="1" t="s">
        <v>59</v>
      </c>
      <c r="D35" s="9" t="s">
        <v>564</v>
      </c>
      <c r="E35" s="1" t="s">
        <v>41</v>
      </c>
      <c r="F35" s="1" t="str">
        <f>_xlfn.XLOOKUP(B35,'February 2025'!B:B,'February 2025'!F:F)</f>
        <v>Overseas</v>
      </c>
      <c r="G35" s="1">
        <v>18000</v>
      </c>
      <c r="H35" s="1">
        <v>16353</v>
      </c>
      <c r="I35" s="1">
        <v>1638</v>
      </c>
      <c r="J35" s="1">
        <v>585</v>
      </c>
      <c r="K35" s="1" t="s">
        <v>555</v>
      </c>
    </row>
    <row r="36" spans="1:11" x14ac:dyDescent="0.3">
      <c r="A36" s="1">
        <v>35</v>
      </c>
      <c r="B36" s="1">
        <v>35</v>
      </c>
      <c r="C36" s="1" t="s">
        <v>60</v>
      </c>
      <c r="D36" s="9" t="s">
        <v>564</v>
      </c>
      <c r="E36" s="1" t="s">
        <v>61</v>
      </c>
      <c r="F36" s="1" t="s">
        <v>501</v>
      </c>
      <c r="G36" s="1">
        <v>13500</v>
      </c>
      <c r="H36" s="1">
        <v>12264</v>
      </c>
      <c r="I36" s="1">
        <v>1229</v>
      </c>
      <c r="J36" s="1">
        <v>439</v>
      </c>
      <c r="K36" s="1" t="s">
        <v>556</v>
      </c>
    </row>
    <row r="37" spans="1:11" x14ac:dyDescent="0.3">
      <c r="A37" s="1">
        <v>36</v>
      </c>
      <c r="B37" s="1">
        <v>39</v>
      </c>
      <c r="C37" s="1" t="s">
        <v>62</v>
      </c>
      <c r="D37" s="9" t="s">
        <v>564</v>
      </c>
      <c r="E37" s="1" t="s">
        <v>35</v>
      </c>
      <c r="F37" s="1" t="str">
        <f>_xlfn.XLOOKUP(B37,'February 2025'!B:B,'February 2025'!F:F)</f>
        <v>Manufacturing</v>
      </c>
      <c r="G37" s="1">
        <v>12500</v>
      </c>
      <c r="H37" s="1">
        <v>11356</v>
      </c>
      <c r="I37" s="1">
        <v>1138</v>
      </c>
      <c r="J37" s="1">
        <v>407</v>
      </c>
      <c r="K37" s="1" t="s">
        <v>556</v>
      </c>
    </row>
    <row r="38" spans="1:11" x14ac:dyDescent="0.3">
      <c r="A38" s="1">
        <v>37</v>
      </c>
      <c r="B38" s="1">
        <v>37</v>
      </c>
      <c r="C38" s="1" t="s">
        <v>63</v>
      </c>
      <c r="D38" s="9" t="s">
        <v>564</v>
      </c>
      <c r="E38" s="1" t="s">
        <v>64</v>
      </c>
      <c r="F38" s="1" t="str">
        <f>_xlfn.XLOOKUP(B38,'February 2025'!B:B,'February 2025'!F:F)</f>
        <v>Overseas</v>
      </c>
      <c r="G38" s="1">
        <v>40000</v>
      </c>
      <c r="H38" s="1">
        <v>40000</v>
      </c>
      <c r="I38" s="1">
        <v>0</v>
      </c>
      <c r="J38" s="1">
        <v>0</v>
      </c>
      <c r="K38" s="1" t="str">
        <f>_xlfn.XLOOKUP(C38,'February 2025'!C:C,'February 2025'!K:K)</f>
        <v>L-6</v>
      </c>
    </row>
    <row r="39" spans="1:11" x14ac:dyDescent="0.3">
      <c r="A39" s="1">
        <v>38</v>
      </c>
      <c r="B39" s="1">
        <v>38</v>
      </c>
      <c r="C39" s="1" t="s">
        <v>65</v>
      </c>
      <c r="D39" s="9" t="s">
        <v>564</v>
      </c>
      <c r="E39" s="1" t="s">
        <v>558</v>
      </c>
      <c r="F39" s="1" t="str">
        <f>_xlfn.XLOOKUP(B39,'February 2025'!B:B,'February 2025'!F:F)</f>
        <v xml:space="preserve">Admin </v>
      </c>
      <c r="G39" s="1">
        <v>41000</v>
      </c>
      <c r="H39" s="1">
        <v>41000</v>
      </c>
      <c r="I39" s="1">
        <v>0</v>
      </c>
      <c r="J39" s="1">
        <v>0</v>
      </c>
      <c r="K39" s="1" t="str">
        <f>_xlfn.XLOOKUP(C39,'February 2025'!C:C,'February 2025'!K:K)</f>
        <v>L-5</v>
      </c>
    </row>
    <row r="40" spans="1:11" x14ac:dyDescent="0.3">
      <c r="A40" s="1">
        <v>39</v>
      </c>
      <c r="B40" s="1">
        <v>39</v>
      </c>
      <c r="C40" s="1" t="s">
        <v>66</v>
      </c>
      <c r="D40" s="9" t="s">
        <v>564</v>
      </c>
      <c r="E40" s="1" t="s">
        <v>67</v>
      </c>
      <c r="F40" s="1" t="str">
        <f>_xlfn.XLOOKUP(B40,'February 2025'!B:B,'February 2025'!F:F)</f>
        <v>Manufacturing</v>
      </c>
      <c r="G40" s="1">
        <v>30000</v>
      </c>
      <c r="H40" s="1">
        <v>30000</v>
      </c>
      <c r="I40" s="1">
        <v>0</v>
      </c>
      <c r="J40" s="1">
        <v>0</v>
      </c>
      <c r="K40" s="1" t="str">
        <f>_xlfn.XLOOKUP(C40,'February 2025'!C:C,'February 2025'!K:K)</f>
        <v>L-9</v>
      </c>
    </row>
    <row r="41" spans="1:11" x14ac:dyDescent="0.3">
      <c r="A41" s="1">
        <v>40</v>
      </c>
      <c r="B41" s="1">
        <v>40</v>
      </c>
      <c r="C41" s="1" t="s">
        <v>68</v>
      </c>
      <c r="D41" s="9" t="s">
        <v>564</v>
      </c>
      <c r="E41" s="1" t="s">
        <v>67</v>
      </c>
      <c r="F41" s="1" t="str">
        <f>_xlfn.XLOOKUP(C41,'[1]January 2025'!$C:$C,'[1]January 2025'!$I:$I,"")</f>
        <v>Manufacturing</v>
      </c>
      <c r="G41" s="1">
        <v>30000</v>
      </c>
      <c r="H41" s="1">
        <v>30000</v>
      </c>
      <c r="I41" s="1">
        <v>0</v>
      </c>
      <c r="J41" s="1">
        <v>0</v>
      </c>
      <c r="K41" s="1" t="str">
        <f>_xlfn.XLOOKUP(C41,'February 2025'!C:C,'February 2025'!K:K)</f>
        <v>L-9</v>
      </c>
    </row>
    <row r="42" spans="1:11" x14ac:dyDescent="0.3">
      <c r="A42" s="1">
        <v>41</v>
      </c>
      <c r="B42" s="1">
        <v>41</v>
      </c>
      <c r="C42" s="1" t="s">
        <v>69</v>
      </c>
      <c r="D42" s="9" t="s">
        <v>564</v>
      </c>
      <c r="E42" s="1" t="s">
        <v>67</v>
      </c>
      <c r="F42" s="1" t="str">
        <f>_xlfn.XLOOKUP(B42,'February 2025'!B:B,'February 2025'!F:F)</f>
        <v>Manufacturing</v>
      </c>
      <c r="G42" s="1">
        <v>30000</v>
      </c>
      <c r="H42" s="1">
        <v>30000</v>
      </c>
      <c r="I42" s="1">
        <v>0</v>
      </c>
      <c r="J42" s="1">
        <v>0</v>
      </c>
      <c r="K42" s="1" t="str">
        <f>_xlfn.XLOOKUP(C42,'February 2025'!C:C,'February 2025'!K:K)</f>
        <v>L-9</v>
      </c>
    </row>
    <row r="43" spans="1:11" x14ac:dyDescent="0.3">
      <c r="A43" s="1">
        <v>42</v>
      </c>
      <c r="B43" s="1">
        <v>42</v>
      </c>
      <c r="C43" s="1" t="s">
        <v>70</v>
      </c>
      <c r="D43" s="9" t="s">
        <v>564</v>
      </c>
      <c r="E43" s="1" t="s">
        <v>67</v>
      </c>
      <c r="F43" s="1" t="str">
        <f>_xlfn.XLOOKUP(B43,'February 2025'!B:B,'February 2025'!F:F)</f>
        <v>Manufacturing</v>
      </c>
      <c r="G43" s="1">
        <v>30000</v>
      </c>
      <c r="H43" s="1">
        <v>30000</v>
      </c>
      <c r="I43" s="1">
        <v>0</v>
      </c>
      <c r="J43" s="1">
        <v>0</v>
      </c>
      <c r="K43" s="1" t="str">
        <f>_xlfn.XLOOKUP(C43,'February 2025'!C:C,'February 2025'!K:K)</f>
        <v>L-9</v>
      </c>
    </row>
    <row r="44" spans="1:11" x14ac:dyDescent="0.3">
      <c r="A44" s="1">
        <v>43</v>
      </c>
      <c r="B44" s="1">
        <v>43</v>
      </c>
      <c r="C44" s="1" t="s">
        <v>71</v>
      </c>
      <c r="D44" s="9" t="s">
        <v>564</v>
      </c>
      <c r="E44" s="1" t="s">
        <v>67</v>
      </c>
      <c r="F44" s="1" t="str">
        <f>_xlfn.XLOOKUP(B44,'February 2025'!B:B,'February 2025'!F:F)</f>
        <v>Manufacturing</v>
      </c>
      <c r="G44" s="1">
        <v>30000</v>
      </c>
      <c r="H44" s="1">
        <v>30000</v>
      </c>
      <c r="I44" s="1">
        <v>0</v>
      </c>
      <c r="J44" s="1">
        <v>0</v>
      </c>
      <c r="K44" s="1" t="str">
        <f>_xlfn.XLOOKUP(C44,'February 2025'!C:C,'February 2025'!K:K)</f>
        <v>L-9</v>
      </c>
    </row>
    <row r="45" spans="1:11" x14ac:dyDescent="0.3">
      <c r="A45" s="1">
        <v>44</v>
      </c>
      <c r="B45" s="1">
        <v>44</v>
      </c>
      <c r="C45" s="1" t="s">
        <v>72</v>
      </c>
      <c r="D45" s="9" t="s">
        <v>564</v>
      </c>
      <c r="E45" s="1" t="s">
        <v>67</v>
      </c>
      <c r="F45" s="1" t="str">
        <f>_xlfn.XLOOKUP(B45,'February 2025'!B:B,'February 2025'!F:F)</f>
        <v>Manufacturing</v>
      </c>
      <c r="G45" s="1">
        <v>30000</v>
      </c>
      <c r="H45" s="1">
        <v>30000</v>
      </c>
      <c r="I45" s="1">
        <v>0</v>
      </c>
      <c r="J45" s="1">
        <v>0</v>
      </c>
      <c r="K45" s="1" t="str">
        <f>_xlfn.XLOOKUP(C45,'February 2025'!C:C,'February 2025'!K:K)</f>
        <v>L-9</v>
      </c>
    </row>
    <row r="46" spans="1:11" x14ac:dyDescent="0.3">
      <c r="A46" s="1">
        <v>45</v>
      </c>
      <c r="B46" s="1">
        <v>49</v>
      </c>
      <c r="C46" s="1" t="s">
        <v>73</v>
      </c>
      <c r="D46" s="9" t="s">
        <v>564</v>
      </c>
      <c r="E46" s="1" t="s">
        <v>67</v>
      </c>
      <c r="F46" s="1" t="s">
        <v>501</v>
      </c>
      <c r="G46" s="1">
        <v>30000</v>
      </c>
      <c r="H46" s="1">
        <v>30000</v>
      </c>
      <c r="I46" s="1">
        <v>0</v>
      </c>
      <c r="J46" s="1">
        <v>0</v>
      </c>
      <c r="K46" s="1" t="s">
        <v>556</v>
      </c>
    </row>
    <row r="47" spans="1:11" x14ac:dyDescent="0.3">
      <c r="A47" s="1">
        <v>46</v>
      </c>
      <c r="B47" s="1">
        <v>46</v>
      </c>
      <c r="C47" s="1" t="s">
        <v>74</v>
      </c>
      <c r="D47" s="9" t="s">
        <v>564</v>
      </c>
      <c r="E47" s="1" t="s">
        <v>42</v>
      </c>
      <c r="F47" s="1" t="str">
        <f>_xlfn.XLOOKUP(B47,'February 2025'!B:B,'February 2025'!F:F)</f>
        <v>Overseas</v>
      </c>
      <c r="G47" s="1">
        <v>80000</v>
      </c>
      <c r="H47" s="1">
        <v>80000</v>
      </c>
      <c r="I47" s="1">
        <v>0</v>
      </c>
      <c r="J47" s="1">
        <v>0</v>
      </c>
      <c r="K47" s="1" t="str">
        <f>_xlfn.XLOOKUP(C47,'February 2025'!C:C,'February 2025'!K:K)</f>
        <v>L-5</v>
      </c>
    </row>
    <row r="48" spans="1:11" x14ac:dyDescent="0.3">
      <c r="A48" s="1">
        <v>47</v>
      </c>
      <c r="B48" s="1">
        <v>47</v>
      </c>
      <c r="C48" s="1" t="s">
        <v>75</v>
      </c>
      <c r="D48" s="9" t="s">
        <v>564</v>
      </c>
      <c r="E48" s="1" t="s">
        <v>76</v>
      </c>
      <c r="F48" s="1" t="str">
        <f>_xlfn.XLOOKUP(B48,'February 2025'!B:B,'February 2025'!F:F)</f>
        <v>D2C</v>
      </c>
      <c r="G48" s="1">
        <v>19000</v>
      </c>
      <c r="H48" s="1">
        <v>18857</v>
      </c>
      <c r="I48" s="1">
        <v>0</v>
      </c>
      <c r="J48" s="1">
        <v>618</v>
      </c>
      <c r="K48" s="1" t="s">
        <v>553</v>
      </c>
    </row>
    <row r="49" spans="1:11" x14ac:dyDescent="0.3">
      <c r="A49" s="1">
        <v>48</v>
      </c>
      <c r="B49" s="1">
        <v>48</v>
      </c>
      <c r="C49" s="1" t="s">
        <v>77</v>
      </c>
      <c r="D49" s="9" t="s">
        <v>564</v>
      </c>
      <c r="E49" s="1" t="s">
        <v>67</v>
      </c>
      <c r="F49" s="1" t="str">
        <f>_xlfn.XLOOKUP(B49,'February 2025'!B:B,'February 2025'!F:F)</f>
        <v>Manufacturing</v>
      </c>
      <c r="G49" s="1">
        <v>30000</v>
      </c>
      <c r="H49" s="1">
        <v>30000</v>
      </c>
      <c r="I49" s="1">
        <v>0</v>
      </c>
      <c r="J49" s="1">
        <v>0</v>
      </c>
      <c r="K49" s="1" t="str">
        <f>_xlfn.XLOOKUP(C49,'February 2025'!C:C,'February 2025'!K:K)</f>
        <v>L-9</v>
      </c>
    </row>
    <row r="50" spans="1:11" x14ac:dyDescent="0.3">
      <c r="A50" s="1">
        <v>49</v>
      </c>
      <c r="B50" s="1">
        <v>49</v>
      </c>
      <c r="C50" s="1" t="s">
        <v>78</v>
      </c>
      <c r="D50" s="9" t="s">
        <v>564</v>
      </c>
      <c r="E50" s="1" t="s">
        <v>67</v>
      </c>
      <c r="F50" s="1" t="str">
        <f>_xlfn.XLOOKUP(C50,'[1]January 2025'!$C:$C,'[1]January 2025'!$I:$I,"")</f>
        <v>Manufacturing</v>
      </c>
      <c r="G50" s="1">
        <v>30000</v>
      </c>
      <c r="H50" s="1">
        <v>30000</v>
      </c>
      <c r="I50" s="1">
        <v>0</v>
      </c>
      <c r="J50" s="1">
        <v>0</v>
      </c>
      <c r="K50" s="1" t="str">
        <f>_xlfn.XLOOKUP(C50,'February 2025'!C:C,'February 2025'!K:K)</f>
        <v>L-9</v>
      </c>
    </row>
    <row r="51" spans="1:11" x14ac:dyDescent="0.3">
      <c r="A51" s="1">
        <v>50</v>
      </c>
      <c r="B51" s="1">
        <v>10001</v>
      </c>
      <c r="C51" s="1" t="s">
        <v>79</v>
      </c>
      <c r="D51" s="9" t="s">
        <v>565</v>
      </c>
      <c r="E51" s="1" t="s">
        <v>53</v>
      </c>
      <c r="F51" s="1" t="s">
        <v>501</v>
      </c>
      <c r="G51" s="1">
        <v>11000</v>
      </c>
      <c r="H51" s="1">
        <v>11000</v>
      </c>
      <c r="I51" s="1">
        <v>0</v>
      </c>
      <c r="J51" s="1">
        <v>0</v>
      </c>
      <c r="K51" s="1" t="s">
        <v>557</v>
      </c>
    </row>
    <row r="52" spans="1:11" x14ac:dyDescent="0.3">
      <c r="A52" s="1">
        <v>51</v>
      </c>
      <c r="B52" s="1">
        <v>10002</v>
      </c>
      <c r="C52" s="1" t="s">
        <v>80</v>
      </c>
      <c r="D52" s="9" t="s">
        <v>565</v>
      </c>
      <c r="E52" s="1" t="s">
        <v>61</v>
      </c>
      <c r="F52" s="1" t="str">
        <f>_xlfn.XLOOKUP(B52,'February 2025'!B:B,'February 2025'!F:F)</f>
        <v>Domestic</v>
      </c>
      <c r="G52" s="1">
        <v>14000</v>
      </c>
      <c r="H52" s="1">
        <v>14000</v>
      </c>
      <c r="I52" s="1">
        <v>0</v>
      </c>
      <c r="J52" s="1">
        <v>0</v>
      </c>
      <c r="K52" s="1" t="str">
        <f>_xlfn.XLOOKUP(C52,'February 2025'!C:C,'February 2025'!K:K)</f>
        <v>L-10</v>
      </c>
    </row>
    <row r="53" spans="1:11" x14ac:dyDescent="0.3">
      <c r="A53" s="1">
        <v>52</v>
      </c>
      <c r="B53" s="1">
        <v>18</v>
      </c>
      <c r="C53" s="1" t="s">
        <v>81</v>
      </c>
      <c r="D53" s="9" t="s">
        <v>565</v>
      </c>
      <c r="E53" s="1" t="s">
        <v>82</v>
      </c>
      <c r="F53" s="1" t="s">
        <v>501</v>
      </c>
      <c r="G53" s="1">
        <v>22000</v>
      </c>
      <c r="H53" s="1">
        <v>22000</v>
      </c>
      <c r="I53" s="1">
        <v>0</v>
      </c>
      <c r="J53" s="1">
        <v>0</v>
      </c>
      <c r="K53" s="1" t="s">
        <v>556</v>
      </c>
    </row>
    <row r="54" spans="1:11" x14ac:dyDescent="0.3">
      <c r="A54" s="1">
        <v>53</v>
      </c>
      <c r="B54" s="1">
        <v>10004</v>
      </c>
      <c r="C54" s="1" t="s">
        <v>83</v>
      </c>
      <c r="D54" s="9" t="s">
        <v>565</v>
      </c>
      <c r="E54" s="1" t="s">
        <v>21</v>
      </c>
      <c r="F54" s="1" t="str">
        <f>_xlfn.XLOOKUP(B54,'February 2025'!B:B,'February 2025'!F:F)</f>
        <v>Manufacturing</v>
      </c>
      <c r="G54" s="1">
        <v>15000</v>
      </c>
      <c r="H54" s="1">
        <v>15000</v>
      </c>
      <c r="I54" s="1">
        <v>0</v>
      </c>
      <c r="J54" s="1">
        <v>0</v>
      </c>
      <c r="K54" s="1" t="str">
        <f>_xlfn.XLOOKUP(C54,'February 2025'!C:C,'February 2025'!K:K)</f>
        <v>L-9</v>
      </c>
    </row>
    <row r="55" spans="1:11" x14ac:dyDescent="0.3">
      <c r="A55" s="1">
        <v>54</v>
      </c>
      <c r="B55" s="1">
        <v>10005</v>
      </c>
      <c r="C55" s="1" t="s">
        <v>84</v>
      </c>
      <c r="D55" s="9" t="s">
        <v>565</v>
      </c>
      <c r="E55" s="1" t="s">
        <v>55</v>
      </c>
      <c r="F55" s="1" t="str">
        <f>_xlfn.XLOOKUP(B55,'February 2025'!B:B,'February 2025'!F:F)</f>
        <v>Manufacturing</v>
      </c>
      <c r="G55" s="1">
        <v>16000</v>
      </c>
      <c r="H55" s="1">
        <v>16000</v>
      </c>
      <c r="I55" s="1">
        <v>0</v>
      </c>
      <c r="J55" s="1">
        <v>0</v>
      </c>
      <c r="K55" s="1" t="str">
        <f>_xlfn.XLOOKUP(C55,'February 2025'!C:C,'February 2025'!K:K)</f>
        <v>L-8</v>
      </c>
    </row>
    <row r="56" spans="1:11" x14ac:dyDescent="0.3">
      <c r="A56" s="1">
        <v>55</v>
      </c>
      <c r="B56" s="1">
        <v>10006</v>
      </c>
      <c r="C56" s="1" t="s">
        <v>85</v>
      </c>
      <c r="D56" s="9" t="s">
        <v>565</v>
      </c>
      <c r="E56" s="1" t="s">
        <v>12</v>
      </c>
      <c r="F56" s="1" t="str">
        <f>_xlfn.XLOOKUP(B56,'February 2025'!B:B,'February 2025'!F:F)</f>
        <v>Manufacturing</v>
      </c>
      <c r="G56" s="1">
        <v>16000</v>
      </c>
      <c r="H56" s="1">
        <v>16000</v>
      </c>
      <c r="I56" s="1">
        <v>0</v>
      </c>
      <c r="J56" s="1">
        <v>0</v>
      </c>
      <c r="K56" s="1" t="str">
        <f>_xlfn.XLOOKUP(C56,'February 2025'!C:C,'February 2025'!K:K)</f>
        <v>L-9</v>
      </c>
    </row>
    <row r="57" spans="1:11" x14ac:dyDescent="0.3">
      <c r="A57" s="1">
        <v>56</v>
      </c>
      <c r="B57" s="1">
        <v>10007</v>
      </c>
      <c r="C57" s="1" t="s">
        <v>86</v>
      </c>
      <c r="D57" s="9" t="s">
        <v>565</v>
      </c>
      <c r="E57" s="1" t="s">
        <v>10</v>
      </c>
      <c r="F57" s="1" t="str">
        <f>_xlfn.XLOOKUP(C57,'[1]January 2025'!$C:$C,'[1]January 2025'!$I:$I,"")</f>
        <v>Manufacturing</v>
      </c>
      <c r="G57" s="1">
        <v>13500</v>
      </c>
      <c r="H57" s="1">
        <v>13500</v>
      </c>
      <c r="I57" s="1">
        <v>0</v>
      </c>
      <c r="J57" s="1">
        <v>0</v>
      </c>
      <c r="K57" s="1" t="str">
        <f>_xlfn.XLOOKUP(C57,'February 2025'!C:C,'February 2025'!K:K)</f>
        <v>L-8</v>
      </c>
    </row>
    <row r="58" spans="1:11" x14ac:dyDescent="0.3">
      <c r="A58" s="1">
        <v>57</v>
      </c>
      <c r="B58" s="1">
        <v>10008</v>
      </c>
      <c r="C58" s="1" t="s">
        <v>87</v>
      </c>
      <c r="D58" s="9" t="s">
        <v>565</v>
      </c>
      <c r="E58" s="1" t="s">
        <v>88</v>
      </c>
      <c r="F58" s="1" t="str">
        <f>_xlfn.XLOOKUP(B58,'February 2025'!B:B,'February 2025'!F:F)</f>
        <v>Domestic</v>
      </c>
      <c r="G58" s="1">
        <v>10000</v>
      </c>
      <c r="H58" s="1">
        <v>10000</v>
      </c>
      <c r="I58" s="1">
        <v>0</v>
      </c>
      <c r="J58" s="1">
        <v>0</v>
      </c>
      <c r="K58" s="1" t="str">
        <f>_xlfn.XLOOKUP(C58,'February 2025'!C:C,'February 2025'!K:K)</f>
        <v>L-10</v>
      </c>
    </row>
    <row r="59" spans="1:11" x14ac:dyDescent="0.3">
      <c r="A59" s="1">
        <v>58</v>
      </c>
      <c r="B59" s="1">
        <v>10009</v>
      </c>
      <c r="C59" s="1" t="s">
        <v>89</v>
      </c>
      <c r="D59" s="9" t="s">
        <v>565</v>
      </c>
      <c r="E59" s="1" t="s">
        <v>53</v>
      </c>
      <c r="F59" s="1" t="str">
        <f>_xlfn.XLOOKUP(C59,'[1]January 2025'!$C:$C,'[1]January 2025'!$I:$I,"")</f>
        <v>Domestic</v>
      </c>
      <c r="G59" s="1">
        <v>11500</v>
      </c>
      <c r="H59" s="1">
        <v>11500</v>
      </c>
      <c r="I59" s="1">
        <v>0</v>
      </c>
      <c r="J59" s="1">
        <v>0</v>
      </c>
      <c r="K59" s="1" t="str">
        <f>_xlfn.XLOOKUP(C59,'February 2025'!C:C,'February 2025'!K:K)</f>
        <v>L-10</v>
      </c>
    </row>
    <row r="60" spans="1:11" x14ac:dyDescent="0.3">
      <c r="A60" s="1">
        <v>59</v>
      </c>
      <c r="B60" s="1">
        <v>10010</v>
      </c>
      <c r="C60" s="1" t="s">
        <v>90</v>
      </c>
      <c r="D60" s="9" t="s">
        <v>565</v>
      </c>
      <c r="E60" s="1" t="s">
        <v>35</v>
      </c>
      <c r="F60" s="1" t="s">
        <v>501</v>
      </c>
      <c r="G60" s="1">
        <v>14500</v>
      </c>
      <c r="H60" s="1">
        <v>14500</v>
      </c>
      <c r="I60" s="1">
        <v>0</v>
      </c>
      <c r="J60" s="1">
        <v>0</v>
      </c>
      <c r="K60" s="1" t="s">
        <v>556</v>
      </c>
    </row>
    <row r="61" spans="1:11" x14ac:dyDescent="0.3">
      <c r="A61" s="1">
        <v>60</v>
      </c>
      <c r="B61" s="1">
        <v>10011</v>
      </c>
      <c r="C61" s="1" t="s">
        <v>91</v>
      </c>
      <c r="D61" s="9" t="s">
        <v>565</v>
      </c>
      <c r="E61" s="1" t="s">
        <v>55</v>
      </c>
      <c r="F61" s="1" t="s">
        <v>501</v>
      </c>
      <c r="G61" s="1">
        <v>13500</v>
      </c>
      <c r="H61" s="1">
        <v>13500</v>
      </c>
      <c r="I61" s="1">
        <v>0</v>
      </c>
      <c r="J61" s="1">
        <v>0</v>
      </c>
      <c r="K61" s="1" t="s">
        <v>554</v>
      </c>
    </row>
    <row r="62" spans="1:11" x14ac:dyDescent="0.3">
      <c r="A62" s="1">
        <v>61</v>
      </c>
      <c r="B62" s="1">
        <v>10012</v>
      </c>
      <c r="C62" s="1" t="s">
        <v>92</v>
      </c>
      <c r="D62" s="9" t="s">
        <v>567</v>
      </c>
      <c r="E62" s="1" t="s">
        <v>93</v>
      </c>
      <c r="F62" s="1" t="str">
        <f>_xlfn.XLOOKUP(B62,'February 2025'!B:B,'February 2025'!F:F)</f>
        <v>Manufacturing</v>
      </c>
      <c r="G62" s="1">
        <v>14000</v>
      </c>
      <c r="H62" s="1">
        <v>14000</v>
      </c>
      <c r="I62" s="1">
        <v>0</v>
      </c>
      <c r="J62" s="1">
        <v>0</v>
      </c>
      <c r="K62" s="1" t="str">
        <f>_xlfn.XLOOKUP(C62,'February 2025'!C:C,'February 2025'!K:K)</f>
        <v>L-10</v>
      </c>
    </row>
    <row r="63" spans="1:11" x14ac:dyDescent="0.3">
      <c r="A63" s="1">
        <v>62</v>
      </c>
      <c r="B63" s="1">
        <v>10013</v>
      </c>
      <c r="C63" s="1" t="s">
        <v>94</v>
      </c>
      <c r="D63" s="9" t="s">
        <v>565</v>
      </c>
      <c r="E63" s="1" t="s">
        <v>10</v>
      </c>
      <c r="F63" s="1" t="str">
        <f>_xlfn.XLOOKUP(B63,'February 2025'!B:B,'February 2025'!F:F)</f>
        <v>Office Support</v>
      </c>
      <c r="G63" s="1">
        <v>13500</v>
      </c>
      <c r="H63" s="1">
        <v>13500</v>
      </c>
      <c r="I63" s="1">
        <v>0</v>
      </c>
      <c r="J63" s="1">
        <v>0</v>
      </c>
      <c r="K63" s="1" t="str">
        <f>_xlfn.XLOOKUP(C63,'February 2025'!C:C,'February 2025'!K:K)</f>
        <v>L-8</v>
      </c>
    </row>
    <row r="64" spans="1:11" x14ac:dyDescent="0.3">
      <c r="A64" s="1">
        <v>63</v>
      </c>
      <c r="B64" s="1">
        <v>10014</v>
      </c>
      <c r="C64" s="1" t="s">
        <v>95</v>
      </c>
      <c r="D64" s="9" t="s">
        <v>565</v>
      </c>
      <c r="E64" s="1" t="s">
        <v>53</v>
      </c>
      <c r="F64" s="1" t="str">
        <f>_xlfn.XLOOKUP(B64,'February 2025'!B:B,'February 2025'!F:F)</f>
        <v>Office Support</v>
      </c>
      <c r="G64" s="1">
        <v>12000</v>
      </c>
      <c r="H64" s="1">
        <v>12000</v>
      </c>
      <c r="I64" s="1">
        <v>0</v>
      </c>
      <c r="J64" s="1">
        <v>0</v>
      </c>
      <c r="K64" s="1" t="str">
        <f>_xlfn.XLOOKUP(C64,'February 2025'!C:C,'February 2025'!K:K)</f>
        <v>L-10</v>
      </c>
    </row>
    <row r="65" spans="1:11" x14ac:dyDescent="0.3">
      <c r="A65" s="1">
        <v>64</v>
      </c>
      <c r="B65" s="1">
        <v>10015</v>
      </c>
      <c r="C65" s="1" t="s">
        <v>96</v>
      </c>
      <c r="D65" s="9" t="s">
        <v>565</v>
      </c>
      <c r="E65" s="1" t="s">
        <v>35</v>
      </c>
      <c r="F65" s="1" t="str">
        <f>_xlfn.XLOOKUP(B65,'February 2025'!B:B,'February 2025'!F:F)</f>
        <v>Manufacturing</v>
      </c>
      <c r="G65" s="1">
        <v>14000</v>
      </c>
      <c r="H65" s="1">
        <v>14000</v>
      </c>
      <c r="I65" s="1">
        <v>0</v>
      </c>
      <c r="J65" s="1">
        <v>0</v>
      </c>
      <c r="K65" s="1" t="str">
        <f>_xlfn.XLOOKUP(C65,'February 2025'!C:C,'February 2025'!K:K)</f>
        <v>L-9</v>
      </c>
    </row>
    <row r="66" spans="1:11" x14ac:dyDescent="0.3">
      <c r="A66" s="1">
        <v>65</v>
      </c>
      <c r="B66" s="1">
        <v>10016</v>
      </c>
      <c r="C66" s="1" t="s">
        <v>97</v>
      </c>
      <c r="D66" s="9" t="s">
        <v>565</v>
      </c>
      <c r="E66" s="1" t="s">
        <v>10</v>
      </c>
      <c r="F66" s="1" t="str">
        <f>_xlfn.XLOOKUP(B66,'February 2025'!B:B,'February 2025'!F:F)</f>
        <v>Manufacturing</v>
      </c>
      <c r="G66" s="1">
        <v>12500</v>
      </c>
      <c r="H66" s="1">
        <v>12500</v>
      </c>
      <c r="I66" s="1">
        <v>0</v>
      </c>
      <c r="J66" s="1">
        <v>0</v>
      </c>
      <c r="K66" s="1" t="str">
        <f>_xlfn.XLOOKUP(C66,'February 2025'!C:C,'February 2025'!K:K)</f>
        <v>L-8</v>
      </c>
    </row>
    <row r="67" spans="1:11" x14ac:dyDescent="0.3">
      <c r="A67" s="1">
        <v>66</v>
      </c>
      <c r="B67" s="1">
        <v>10017</v>
      </c>
      <c r="C67" s="1" t="s">
        <v>98</v>
      </c>
      <c r="D67" s="9" t="s">
        <v>565</v>
      </c>
      <c r="E67" s="1" t="s">
        <v>53</v>
      </c>
      <c r="F67" s="1" t="str">
        <f>_xlfn.XLOOKUP(C67,'[1]January 2025'!$C:$C,'[1]January 2025'!$I:$I,"")</f>
        <v>Domestic</v>
      </c>
      <c r="G67" s="1">
        <v>13000</v>
      </c>
      <c r="H67" s="1">
        <v>13000</v>
      </c>
      <c r="I67" s="1">
        <v>0</v>
      </c>
      <c r="J67" s="1">
        <v>0</v>
      </c>
      <c r="K67" s="1" t="str">
        <f>_xlfn.XLOOKUP(C67,'February 2025'!C:C,'February 2025'!K:K)</f>
        <v>L-10</v>
      </c>
    </row>
    <row r="68" spans="1:11" x14ac:dyDescent="0.3">
      <c r="A68" s="1">
        <v>67</v>
      </c>
      <c r="B68" s="1">
        <v>10018</v>
      </c>
      <c r="C68" s="1" t="s">
        <v>99</v>
      </c>
      <c r="D68" s="9" t="s">
        <v>565</v>
      </c>
      <c r="E68" s="1" t="s">
        <v>35</v>
      </c>
      <c r="F68" s="1" t="str">
        <f>_xlfn.XLOOKUP(B68,'February 2025'!B:B,'February 2025'!F:F)</f>
        <v>Manufacturing</v>
      </c>
      <c r="G68" s="1">
        <v>15700</v>
      </c>
      <c r="H68" s="1">
        <v>15700</v>
      </c>
      <c r="I68" s="1">
        <v>0</v>
      </c>
      <c r="J68" s="1">
        <v>0</v>
      </c>
      <c r="K68" s="1" t="str">
        <f>_xlfn.XLOOKUP(C68,'February 2025'!C:C,'February 2025'!K:K)</f>
        <v>L-9</v>
      </c>
    </row>
    <row r="69" spans="1:11" x14ac:dyDescent="0.3">
      <c r="A69" s="1">
        <v>68</v>
      </c>
      <c r="B69" s="1">
        <v>129</v>
      </c>
      <c r="C69" s="1" t="s">
        <v>100</v>
      </c>
      <c r="D69" s="9" t="s">
        <v>565</v>
      </c>
      <c r="E69" s="1" t="s">
        <v>61</v>
      </c>
      <c r="F69" s="1" t="s">
        <v>501</v>
      </c>
      <c r="G69" s="1">
        <v>11500</v>
      </c>
      <c r="H69" s="1">
        <v>11500</v>
      </c>
      <c r="I69" s="1">
        <v>0</v>
      </c>
      <c r="J69" s="1">
        <v>0</v>
      </c>
      <c r="K69" s="1" t="s">
        <v>556</v>
      </c>
    </row>
    <row r="70" spans="1:11" x14ac:dyDescent="0.3">
      <c r="A70" s="1">
        <v>69</v>
      </c>
      <c r="B70" s="1">
        <v>10020</v>
      </c>
      <c r="C70" s="1" t="s">
        <v>101</v>
      </c>
      <c r="D70" s="9" t="s">
        <v>565</v>
      </c>
      <c r="E70" s="1" t="s">
        <v>35</v>
      </c>
      <c r="F70" s="1" t="str">
        <f>_xlfn.XLOOKUP(B70,'February 2025'!B:B,'February 2025'!F:F)</f>
        <v>Manufacturing</v>
      </c>
      <c r="G70" s="1">
        <v>13000</v>
      </c>
      <c r="H70" s="1">
        <v>13000</v>
      </c>
      <c r="I70" s="1">
        <v>0</v>
      </c>
      <c r="J70" s="1">
        <v>0</v>
      </c>
      <c r="K70" s="1" t="str">
        <f>_xlfn.XLOOKUP(C70,'February 2025'!C:C,'February 2025'!K:K)</f>
        <v>L-9</v>
      </c>
    </row>
    <row r="71" spans="1:11" x14ac:dyDescent="0.3">
      <c r="A71" s="1">
        <v>70</v>
      </c>
      <c r="B71" s="1">
        <v>10021</v>
      </c>
      <c r="C71" s="1" t="s">
        <v>102</v>
      </c>
      <c r="D71" s="9" t="s">
        <v>565</v>
      </c>
      <c r="E71" s="1" t="s">
        <v>35</v>
      </c>
      <c r="F71" s="1" t="str">
        <f>_xlfn.XLOOKUP(C71,'[1]January 2025'!$C:$C,'[1]January 2025'!$I:$I,"")</f>
        <v>Manufacturing</v>
      </c>
      <c r="G71" s="1">
        <v>13000</v>
      </c>
      <c r="H71" s="1">
        <v>13000</v>
      </c>
      <c r="I71" s="1">
        <v>0</v>
      </c>
      <c r="J71" s="1">
        <v>0</v>
      </c>
      <c r="K71" s="1" t="str">
        <f>_xlfn.XLOOKUP(C71,'February 2025'!C:C,'February 2025'!K:K)</f>
        <v>L-9</v>
      </c>
    </row>
    <row r="72" spans="1:11" x14ac:dyDescent="0.3">
      <c r="A72" s="1">
        <v>71</v>
      </c>
      <c r="B72" s="1">
        <v>94</v>
      </c>
      <c r="C72" s="1" t="s">
        <v>103</v>
      </c>
      <c r="D72" s="9" t="s">
        <v>565</v>
      </c>
      <c r="E72" s="1" t="s">
        <v>10</v>
      </c>
      <c r="F72" s="1" t="s">
        <v>501</v>
      </c>
      <c r="G72" s="1">
        <v>11000</v>
      </c>
      <c r="H72" s="1">
        <v>11000</v>
      </c>
      <c r="I72" s="1">
        <v>0</v>
      </c>
      <c r="J72" s="1">
        <v>0</v>
      </c>
      <c r="K72" s="1" t="s">
        <v>555</v>
      </c>
    </row>
    <row r="73" spans="1:11" x14ac:dyDescent="0.3">
      <c r="A73" s="1">
        <v>72</v>
      </c>
      <c r="B73" s="1">
        <v>95</v>
      </c>
      <c r="C73" s="1" t="s">
        <v>104</v>
      </c>
      <c r="D73" s="9" t="s">
        <v>565</v>
      </c>
      <c r="E73" s="1" t="s">
        <v>35</v>
      </c>
      <c r="F73" s="1" t="s">
        <v>501</v>
      </c>
      <c r="G73" s="1">
        <v>11500</v>
      </c>
      <c r="H73" s="1">
        <v>11500</v>
      </c>
      <c r="I73" s="1">
        <v>0</v>
      </c>
      <c r="J73" s="1">
        <v>0</v>
      </c>
      <c r="K73" s="1" t="s">
        <v>556</v>
      </c>
    </row>
    <row r="74" spans="1:11" x14ac:dyDescent="0.3">
      <c r="A74" s="1">
        <v>73</v>
      </c>
      <c r="B74" s="1">
        <v>10024</v>
      </c>
      <c r="C74" s="1" t="s">
        <v>105</v>
      </c>
      <c r="D74" s="9" t="s">
        <v>565</v>
      </c>
      <c r="E74" s="1" t="s">
        <v>53</v>
      </c>
      <c r="F74" s="1" t="str">
        <f>_xlfn.XLOOKUP(C74,'[1]January 2025'!$C:$C,'[1]January 2025'!$I:$I,"")</f>
        <v>Domestic</v>
      </c>
      <c r="G74" s="1">
        <v>10500</v>
      </c>
      <c r="H74" s="1">
        <v>10500</v>
      </c>
      <c r="I74" s="1">
        <v>0</v>
      </c>
      <c r="J74" s="1">
        <v>0</v>
      </c>
      <c r="K74" s="1" t="s">
        <v>557</v>
      </c>
    </row>
    <row r="75" spans="1:11" x14ac:dyDescent="0.3">
      <c r="A75" s="1">
        <v>74</v>
      </c>
      <c r="B75" s="1">
        <v>10025</v>
      </c>
      <c r="C75" s="1" t="s">
        <v>106</v>
      </c>
      <c r="D75" s="9" t="s">
        <v>565</v>
      </c>
      <c r="E75" s="1" t="s">
        <v>53</v>
      </c>
      <c r="F75" s="1" t="str">
        <f>_xlfn.XLOOKUP(C75,'[1]January 2025'!$C:$C,'[1]January 2025'!$I:$I,"")</f>
        <v>Manufacturing</v>
      </c>
      <c r="G75" s="1">
        <v>10000</v>
      </c>
      <c r="H75" s="1">
        <v>10000</v>
      </c>
      <c r="I75" s="1">
        <v>0</v>
      </c>
      <c r="J75" s="1">
        <v>0</v>
      </c>
      <c r="K75" s="1" t="s">
        <v>557</v>
      </c>
    </row>
    <row r="76" spans="1:11" x14ac:dyDescent="0.3">
      <c r="A76" s="1">
        <v>75</v>
      </c>
      <c r="B76" s="1">
        <v>99</v>
      </c>
      <c r="C76" s="1" t="s">
        <v>107</v>
      </c>
      <c r="D76" s="9" t="s">
        <v>565</v>
      </c>
      <c r="E76" s="1" t="s">
        <v>10</v>
      </c>
      <c r="F76" s="1" t="s">
        <v>506</v>
      </c>
      <c r="G76" s="1">
        <v>12500</v>
      </c>
      <c r="H76" s="1">
        <v>12500</v>
      </c>
      <c r="I76" s="1">
        <v>0</v>
      </c>
      <c r="J76" s="1">
        <v>0</v>
      </c>
      <c r="K76" s="1" t="s">
        <v>555</v>
      </c>
    </row>
    <row r="77" spans="1:11" x14ac:dyDescent="0.3">
      <c r="A77" s="1">
        <v>76</v>
      </c>
      <c r="B77" s="1">
        <v>10027</v>
      </c>
      <c r="C77" s="1" t="s">
        <v>108</v>
      </c>
      <c r="D77" s="9" t="s">
        <v>565</v>
      </c>
      <c r="E77" s="1" t="s">
        <v>64</v>
      </c>
      <c r="F77" s="1" t="str">
        <f>_xlfn.XLOOKUP(B77,'February 2025'!B:B,'February 2025'!F:F)</f>
        <v>Manufacturing</v>
      </c>
      <c r="G77" s="1">
        <v>6500</v>
      </c>
      <c r="H77" s="1">
        <v>6500</v>
      </c>
      <c r="I77" s="1">
        <v>0</v>
      </c>
      <c r="J77" s="1">
        <v>0</v>
      </c>
      <c r="K77" s="1" t="str">
        <f>_xlfn.XLOOKUP(C77,'February 2025'!C:C,'February 2025'!K:K)</f>
        <v>L-7</v>
      </c>
    </row>
    <row r="78" spans="1:11" x14ac:dyDescent="0.3">
      <c r="A78" s="1">
        <v>77</v>
      </c>
      <c r="B78" s="1">
        <v>105</v>
      </c>
      <c r="C78" s="1" t="s">
        <v>109</v>
      </c>
      <c r="D78" s="9" t="s">
        <v>565</v>
      </c>
      <c r="E78" s="1" t="s">
        <v>10</v>
      </c>
      <c r="F78" s="1" t="s">
        <v>504</v>
      </c>
      <c r="G78" s="1">
        <v>11500</v>
      </c>
      <c r="H78" s="1">
        <v>11500</v>
      </c>
      <c r="I78" s="1">
        <v>0</v>
      </c>
      <c r="J78" s="1">
        <v>0</v>
      </c>
      <c r="K78" s="1" t="s">
        <v>555</v>
      </c>
    </row>
    <row r="79" spans="1:11" x14ac:dyDescent="0.3">
      <c r="A79" s="1">
        <v>78</v>
      </c>
      <c r="B79" s="1">
        <v>10029</v>
      </c>
      <c r="C79" s="1" t="s">
        <v>110</v>
      </c>
      <c r="D79" s="9" t="s">
        <v>565</v>
      </c>
      <c r="E79" s="1" t="s">
        <v>35</v>
      </c>
      <c r="F79" s="1" t="s">
        <v>501</v>
      </c>
      <c r="G79" s="1">
        <v>13000</v>
      </c>
      <c r="H79" s="1">
        <v>13000</v>
      </c>
      <c r="I79" s="1">
        <v>0</v>
      </c>
      <c r="J79" s="1">
        <v>0</v>
      </c>
      <c r="K79" s="1" t="s">
        <v>556</v>
      </c>
    </row>
    <row r="80" spans="1:11" x14ac:dyDescent="0.3">
      <c r="A80" s="1">
        <v>79</v>
      </c>
      <c r="B80" s="1">
        <v>114</v>
      </c>
      <c r="C80" s="1" t="s">
        <v>111</v>
      </c>
      <c r="D80" s="9" t="s">
        <v>565</v>
      </c>
      <c r="E80" s="1" t="s">
        <v>61</v>
      </c>
      <c r="F80" s="1" t="s">
        <v>501</v>
      </c>
      <c r="G80" s="1">
        <v>13500</v>
      </c>
      <c r="H80" s="1">
        <v>13500</v>
      </c>
      <c r="I80" s="1">
        <v>0</v>
      </c>
      <c r="J80" s="1">
        <v>0</v>
      </c>
      <c r="K80" s="1" t="s">
        <v>556</v>
      </c>
    </row>
    <row r="81" spans="1:11" x14ac:dyDescent="0.3">
      <c r="A81" s="1">
        <v>80</v>
      </c>
      <c r="B81" s="1">
        <v>10031</v>
      </c>
      <c r="C81" s="1" t="s">
        <v>112</v>
      </c>
      <c r="D81" s="9" t="s">
        <v>565</v>
      </c>
      <c r="E81" s="1" t="s">
        <v>53</v>
      </c>
      <c r="F81" s="1" t="s">
        <v>501</v>
      </c>
      <c r="G81" s="1">
        <v>11500</v>
      </c>
      <c r="H81" s="1">
        <v>11500</v>
      </c>
      <c r="I81" s="1">
        <v>0</v>
      </c>
      <c r="J81" s="1">
        <v>0</v>
      </c>
      <c r="K81" s="1" t="s">
        <v>557</v>
      </c>
    </row>
    <row r="82" spans="1:11" x14ac:dyDescent="0.3">
      <c r="A82" s="1">
        <v>81</v>
      </c>
      <c r="B82" s="1">
        <v>10032</v>
      </c>
      <c r="C82" s="1" t="s">
        <v>113</v>
      </c>
      <c r="D82" s="9" t="s">
        <v>565</v>
      </c>
      <c r="E82" s="1" t="s">
        <v>53</v>
      </c>
      <c r="F82" s="1" t="str">
        <f>_xlfn.XLOOKUP(B82,'February 2025'!B:B,'February 2025'!F:F)</f>
        <v>Manufacturing</v>
      </c>
      <c r="G82" s="1">
        <v>12500</v>
      </c>
      <c r="H82" s="1">
        <v>12500</v>
      </c>
      <c r="I82" s="1">
        <v>0</v>
      </c>
      <c r="J82" s="1">
        <v>0</v>
      </c>
      <c r="K82" s="1" t="s">
        <v>557</v>
      </c>
    </row>
    <row r="83" spans="1:11" x14ac:dyDescent="0.3">
      <c r="A83" s="1">
        <v>82</v>
      </c>
      <c r="B83" s="1">
        <v>10033</v>
      </c>
      <c r="C83" s="1" t="s">
        <v>114</v>
      </c>
      <c r="D83" s="9" t="s">
        <v>565</v>
      </c>
      <c r="E83" s="1" t="s">
        <v>53</v>
      </c>
      <c r="F83" s="1" t="str">
        <f>_xlfn.XLOOKUP(B83,'February 2025'!B:B,'February 2025'!F:F)</f>
        <v>Manufacturing</v>
      </c>
      <c r="G83" s="1">
        <v>12500</v>
      </c>
      <c r="H83" s="1">
        <v>12500</v>
      </c>
      <c r="I83" s="1">
        <v>0</v>
      </c>
      <c r="J83" s="1">
        <v>0</v>
      </c>
      <c r="K83" s="1" t="s">
        <v>557</v>
      </c>
    </row>
    <row r="84" spans="1:11" x14ac:dyDescent="0.3">
      <c r="A84" s="1">
        <v>83</v>
      </c>
      <c r="B84" s="1">
        <v>10034</v>
      </c>
      <c r="C84" s="1" t="s">
        <v>115</v>
      </c>
      <c r="D84" s="9" t="s">
        <v>565</v>
      </c>
      <c r="E84" s="1" t="s">
        <v>35</v>
      </c>
      <c r="F84" s="1" t="s">
        <v>501</v>
      </c>
      <c r="G84" s="1">
        <v>15000</v>
      </c>
      <c r="H84" s="1">
        <v>15000</v>
      </c>
      <c r="I84" s="1">
        <v>0</v>
      </c>
      <c r="J84" s="1">
        <v>0</v>
      </c>
      <c r="K84" s="1" t="s">
        <v>556</v>
      </c>
    </row>
    <row r="85" spans="1:11" x14ac:dyDescent="0.3">
      <c r="A85" s="1">
        <v>84</v>
      </c>
      <c r="B85" s="1">
        <v>121</v>
      </c>
      <c r="C85" s="1" t="s">
        <v>116</v>
      </c>
      <c r="D85" s="9" t="s">
        <v>565</v>
      </c>
      <c r="E85" s="1" t="s">
        <v>35</v>
      </c>
      <c r="F85" s="1" t="s">
        <v>501</v>
      </c>
      <c r="G85" s="1">
        <v>13000</v>
      </c>
      <c r="H85" s="1">
        <v>13000</v>
      </c>
      <c r="I85" s="1">
        <v>0</v>
      </c>
      <c r="J85" s="1">
        <v>0</v>
      </c>
      <c r="K85" s="1" t="s">
        <v>556</v>
      </c>
    </row>
    <row r="86" spans="1:11" x14ac:dyDescent="0.3">
      <c r="A86" s="1">
        <v>85</v>
      </c>
      <c r="B86" s="1">
        <v>10036</v>
      </c>
      <c r="C86" s="1" t="s">
        <v>117</v>
      </c>
      <c r="D86" s="9" t="s">
        <v>565</v>
      </c>
      <c r="E86" s="1" t="s">
        <v>35</v>
      </c>
      <c r="F86" s="1" t="str">
        <f>_xlfn.XLOOKUP(B86,'February 2025'!B:B,'February 2025'!F:F)</f>
        <v>Domestic</v>
      </c>
      <c r="G86" s="1">
        <v>13000</v>
      </c>
      <c r="H86" s="1">
        <v>13000</v>
      </c>
      <c r="I86" s="1">
        <v>0</v>
      </c>
      <c r="J86" s="1">
        <v>0</v>
      </c>
      <c r="K86" s="1" t="str">
        <f>_xlfn.XLOOKUP(C86,'February 2025'!C:C,'February 2025'!K:K)</f>
        <v>L-9</v>
      </c>
    </row>
    <row r="87" spans="1:11" x14ac:dyDescent="0.3">
      <c r="A87" s="1">
        <v>86</v>
      </c>
      <c r="B87" s="1">
        <v>10037</v>
      </c>
      <c r="C87" s="1" t="s">
        <v>118</v>
      </c>
      <c r="D87" s="9" t="s">
        <v>565</v>
      </c>
      <c r="E87" s="1" t="s">
        <v>35</v>
      </c>
      <c r="F87" s="1" t="str">
        <f>_xlfn.XLOOKUP(C87,'[1]January 2025'!$C:$C,'[1]January 2025'!$I:$I,"")</f>
        <v>Domestic</v>
      </c>
      <c r="G87" s="1">
        <v>13500</v>
      </c>
      <c r="H87" s="1">
        <v>13500</v>
      </c>
      <c r="I87" s="1">
        <v>0</v>
      </c>
      <c r="J87" s="1">
        <v>0</v>
      </c>
      <c r="K87" s="1" t="str">
        <f>_xlfn.XLOOKUP(C87,'February 2025'!C:C,'February 2025'!K:K)</f>
        <v>L-9</v>
      </c>
    </row>
    <row r="88" spans="1:11" x14ac:dyDescent="0.3">
      <c r="A88" s="1">
        <v>87</v>
      </c>
      <c r="B88" s="1">
        <v>126</v>
      </c>
      <c r="C88" s="1" t="s">
        <v>119</v>
      </c>
      <c r="D88" s="9" t="s">
        <v>565</v>
      </c>
      <c r="E88" s="1" t="s">
        <v>53</v>
      </c>
      <c r="F88" s="1" t="s">
        <v>501</v>
      </c>
      <c r="G88" s="1">
        <v>11000</v>
      </c>
      <c r="H88" s="1">
        <v>11000</v>
      </c>
      <c r="I88" s="1">
        <v>0</v>
      </c>
      <c r="J88" s="1">
        <v>0</v>
      </c>
      <c r="K88" s="1" t="s">
        <v>557</v>
      </c>
    </row>
    <row r="89" spans="1:11" x14ac:dyDescent="0.3">
      <c r="A89" s="1">
        <v>88</v>
      </c>
      <c r="B89" s="1">
        <v>22</v>
      </c>
      <c r="C89" s="1" t="s">
        <v>120</v>
      </c>
      <c r="D89" s="9" t="s">
        <v>565</v>
      </c>
      <c r="E89" s="1" t="s">
        <v>61</v>
      </c>
      <c r="F89" s="1" t="str">
        <f>_xlfn.XLOOKUP(B89,'February 2025'!B:B,'February 2025'!F:F)</f>
        <v>Domestic</v>
      </c>
      <c r="G89" s="1">
        <v>13000</v>
      </c>
      <c r="H89" s="1">
        <v>13000</v>
      </c>
      <c r="I89" s="1">
        <v>0</v>
      </c>
      <c r="J89" s="1">
        <v>0</v>
      </c>
      <c r="K89" s="1" t="s">
        <v>556</v>
      </c>
    </row>
    <row r="90" spans="1:11" x14ac:dyDescent="0.3">
      <c r="A90" s="1">
        <v>89</v>
      </c>
      <c r="B90" s="1">
        <v>10040</v>
      </c>
      <c r="C90" s="1" t="s">
        <v>121</v>
      </c>
      <c r="D90" s="9" t="s">
        <v>565</v>
      </c>
      <c r="E90" s="1" t="s">
        <v>35</v>
      </c>
      <c r="F90" s="1" t="s">
        <v>501</v>
      </c>
      <c r="G90" s="1">
        <v>13500</v>
      </c>
      <c r="H90" s="1">
        <v>13500</v>
      </c>
      <c r="I90" s="1">
        <v>0</v>
      </c>
      <c r="J90" s="1">
        <v>0</v>
      </c>
      <c r="K90" s="1" t="s">
        <v>556</v>
      </c>
    </row>
    <row r="91" spans="1:11" x14ac:dyDescent="0.3">
      <c r="A91" s="1">
        <v>90</v>
      </c>
      <c r="B91" s="1">
        <v>10041</v>
      </c>
      <c r="C91" s="1" t="s">
        <v>122</v>
      </c>
      <c r="D91" s="9" t="s">
        <v>565</v>
      </c>
      <c r="E91" s="1" t="s">
        <v>35</v>
      </c>
      <c r="F91" s="1" t="str">
        <f>_xlfn.XLOOKUP(B91,'February 2025'!B:B,'February 2025'!F:F)</f>
        <v>Manufacturing</v>
      </c>
      <c r="G91" s="1">
        <v>14000</v>
      </c>
      <c r="H91" s="1">
        <v>14000</v>
      </c>
      <c r="I91" s="1">
        <v>0</v>
      </c>
      <c r="J91" s="1">
        <v>0</v>
      </c>
      <c r="K91" s="1" t="str">
        <f>_xlfn.XLOOKUP(C91,'February 2025'!C:C,'February 2025'!K:K)</f>
        <v>L-9</v>
      </c>
    </row>
    <row r="92" spans="1:11" x14ac:dyDescent="0.3">
      <c r="A92" s="1">
        <v>91</v>
      </c>
      <c r="B92" s="1">
        <v>10042</v>
      </c>
      <c r="C92" s="1" t="s">
        <v>123</v>
      </c>
      <c r="D92" s="9" t="s">
        <v>565</v>
      </c>
      <c r="E92" s="1" t="s">
        <v>61</v>
      </c>
      <c r="F92" s="1" t="s">
        <v>501</v>
      </c>
      <c r="G92" s="1">
        <v>12500</v>
      </c>
      <c r="H92" s="1">
        <v>12500</v>
      </c>
      <c r="I92" s="1">
        <v>0</v>
      </c>
      <c r="J92" s="1">
        <v>0</v>
      </c>
      <c r="K92" s="1" t="s">
        <v>556</v>
      </c>
    </row>
    <row r="93" spans="1:11" x14ac:dyDescent="0.3">
      <c r="A93" s="1">
        <v>92</v>
      </c>
      <c r="B93" s="1">
        <v>10043</v>
      </c>
      <c r="C93" s="1" t="s">
        <v>124</v>
      </c>
      <c r="D93" s="9" t="s">
        <v>565</v>
      </c>
      <c r="E93" s="1" t="s">
        <v>35</v>
      </c>
      <c r="F93" s="1" t="str">
        <f>_xlfn.XLOOKUP(B93,'February 2025'!B:B,'February 2025'!F:F)</f>
        <v>Manufacturing</v>
      </c>
      <c r="G93" s="1">
        <v>11500</v>
      </c>
      <c r="H93" s="1">
        <v>11500</v>
      </c>
      <c r="I93" s="1">
        <v>0</v>
      </c>
      <c r="J93" s="1">
        <v>0</v>
      </c>
      <c r="K93" s="1" t="str">
        <f>_xlfn.XLOOKUP(C93,'February 2025'!C:C,'February 2025'!K:K)</f>
        <v>L-9</v>
      </c>
    </row>
    <row r="94" spans="1:11" x14ac:dyDescent="0.3">
      <c r="A94" s="1">
        <v>93</v>
      </c>
      <c r="B94" s="1">
        <v>10044</v>
      </c>
      <c r="C94" s="1" t="s">
        <v>125</v>
      </c>
      <c r="D94" s="9" t="s">
        <v>565</v>
      </c>
      <c r="E94" s="1" t="s">
        <v>35</v>
      </c>
      <c r="F94" s="1" t="str">
        <f>_xlfn.XLOOKUP(B94,'February 2025'!B:B,'February 2025'!F:F)</f>
        <v>Manufacturing</v>
      </c>
      <c r="G94" s="1">
        <v>12500</v>
      </c>
      <c r="H94" s="1">
        <v>12500</v>
      </c>
      <c r="I94" s="1">
        <v>0</v>
      </c>
      <c r="J94" s="1">
        <v>0</v>
      </c>
      <c r="K94" s="1" t="s">
        <v>556</v>
      </c>
    </row>
    <row r="95" spans="1:11" x14ac:dyDescent="0.3">
      <c r="A95" s="1">
        <v>94</v>
      </c>
      <c r="B95" s="1">
        <v>149</v>
      </c>
      <c r="C95" s="1" t="s">
        <v>126</v>
      </c>
      <c r="D95" s="9" t="s">
        <v>565</v>
      </c>
      <c r="E95" s="1" t="s">
        <v>35</v>
      </c>
      <c r="F95" s="1" t="s">
        <v>501</v>
      </c>
      <c r="G95" s="1">
        <v>12500</v>
      </c>
      <c r="H95" s="1">
        <v>12500</v>
      </c>
      <c r="I95" s="1">
        <v>0</v>
      </c>
      <c r="J95" s="1">
        <v>0</v>
      </c>
      <c r="K95" s="1" t="s">
        <v>556</v>
      </c>
    </row>
    <row r="96" spans="1:11" x14ac:dyDescent="0.3">
      <c r="A96" s="1">
        <v>95</v>
      </c>
      <c r="B96" s="1">
        <v>10046</v>
      </c>
      <c r="C96" s="1" t="s">
        <v>127</v>
      </c>
      <c r="D96" s="9" t="s">
        <v>565</v>
      </c>
      <c r="E96" s="1" t="s">
        <v>55</v>
      </c>
      <c r="F96" s="1" t="str">
        <f>_xlfn.XLOOKUP(B96,'February 2025'!B:B,'February 2025'!F:F)</f>
        <v>Manufacturing</v>
      </c>
      <c r="G96" s="1">
        <v>16500</v>
      </c>
      <c r="H96" s="1">
        <v>16500</v>
      </c>
      <c r="I96" s="1">
        <v>0</v>
      </c>
      <c r="J96" s="1">
        <v>0</v>
      </c>
      <c r="K96" s="1" t="str">
        <f>_xlfn.XLOOKUP(C96,'February 2025'!C:C,'February 2025'!K:K)</f>
        <v>L-7</v>
      </c>
    </row>
    <row r="97" spans="1:11" x14ac:dyDescent="0.3">
      <c r="A97" s="1">
        <v>96</v>
      </c>
      <c r="B97" s="1">
        <v>10047</v>
      </c>
      <c r="C97" s="1" t="s">
        <v>128</v>
      </c>
      <c r="D97" s="9" t="s">
        <v>565</v>
      </c>
      <c r="E97" s="1" t="s">
        <v>53</v>
      </c>
      <c r="F97" s="1" t="s">
        <v>501</v>
      </c>
      <c r="G97" s="1">
        <v>10500</v>
      </c>
      <c r="H97" s="1">
        <v>10500</v>
      </c>
      <c r="I97" s="1">
        <v>0</v>
      </c>
      <c r="J97" s="1">
        <v>0</v>
      </c>
      <c r="K97" s="1" t="s">
        <v>557</v>
      </c>
    </row>
    <row r="98" spans="1:11" x14ac:dyDescent="0.3">
      <c r="A98" s="1">
        <v>97</v>
      </c>
      <c r="B98" s="1">
        <v>10048</v>
      </c>
      <c r="C98" s="1" t="s">
        <v>129</v>
      </c>
      <c r="D98" s="9" t="s">
        <v>565</v>
      </c>
      <c r="E98" s="1" t="s">
        <v>130</v>
      </c>
      <c r="F98" s="1" t="str">
        <f>_xlfn.XLOOKUP(C98,'[1]January 2025'!$C:$C,'[1]January 2025'!$I:$I,"")</f>
        <v>Manufacturing</v>
      </c>
      <c r="G98" s="1">
        <v>8500</v>
      </c>
      <c r="H98" s="1">
        <v>8500</v>
      </c>
      <c r="I98" s="1">
        <v>0</v>
      </c>
      <c r="J98" s="1">
        <v>0</v>
      </c>
      <c r="K98" s="1" t="s">
        <v>556</v>
      </c>
    </row>
    <row r="99" spans="1:11" x14ac:dyDescent="0.3">
      <c r="A99" s="1">
        <v>98</v>
      </c>
      <c r="B99" s="1">
        <v>10049</v>
      </c>
      <c r="C99" s="1" t="s">
        <v>131</v>
      </c>
      <c r="D99" s="9" t="s">
        <v>565</v>
      </c>
      <c r="E99" s="1" t="s">
        <v>53</v>
      </c>
      <c r="F99" s="1" t="str">
        <f>_xlfn.XLOOKUP(C99,'[1]January 2025'!$C:$C,'[1]January 2025'!$I:$I,"")</f>
        <v>Domestic</v>
      </c>
      <c r="G99" s="1">
        <v>13000</v>
      </c>
      <c r="H99" s="1">
        <v>13000</v>
      </c>
      <c r="I99" s="1">
        <v>0</v>
      </c>
      <c r="J99" s="1">
        <v>0</v>
      </c>
      <c r="K99" s="1" t="str">
        <f>_xlfn.XLOOKUP(C99,'February 2025'!C:C,'February 2025'!K:K)</f>
        <v>L-10</v>
      </c>
    </row>
    <row r="100" spans="1:11" x14ac:dyDescent="0.3">
      <c r="A100" s="1">
        <v>99</v>
      </c>
      <c r="B100" s="1">
        <v>10050</v>
      </c>
      <c r="C100" s="1" t="s">
        <v>132</v>
      </c>
      <c r="D100" s="9" t="s">
        <v>565</v>
      </c>
      <c r="E100" s="1" t="s">
        <v>53</v>
      </c>
      <c r="F100" s="1" t="str">
        <f>_xlfn.XLOOKUP(C100,'[1]January 2025'!$C:$C,'[1]January 2025'!$I:$I,"")</f>
        <v>Manufacturing</v>
      </c>
      <c r="G100" s="1">
        <v>11000</v>
      </c>
      <c r="H100" s="1">
        <v>11000</v>
      </c>
      <c r="I100" s="1">
        <v>0</v>
      </c>
      <c r="J100" s="1">
        <v>0</v>
      </c>
      <c r="K100" s="1" t="str">
        <f>_xlfn.XLOOKUP(C100,'February 2025'!C:C,'February 2025'!K:K)</f>
        <v>L-10</v>
      </c>
    </row>
    <row r="101" spans="1:11" x14ac:dyDescent="0.3">
      <c r="A101" s="1">
        <v>100</v>
      </c>
      <c r="B101" s="1">
        <v>162</v>
      </c>
      <c r="C101" s="1" t="s">
        <v>133</v>
      </c>
      <c r="D101" s="9" t="s">
        <v>565</v>
      </c>
      <c r="E101" s="1" t="s">
        <v>53</v>
      </c>
      <c r="F101" s="1" t="str">
        <f>_xlfn.XLOOKUP(C101,'[1]January 2025'!$C:$C,'[1]January 2025'!$I:$I,"")</f>
        <v>Manufacturing</v>
      </c>
      <c r="G101" s="1">
        <v>11000</v>
      </c>
      <c r="H101" s="1">
        <v>11000</v>
      </c>
      <c r="I101" s="1">
        <v>0</v>
      </c>
      <c r="J101" s="1">
        <v>0</v>
      </c>
      <c r="K101" s="1" t="s">
        <v>557</v>
      </c>
    </row>
    <row r="102" spans="1:11" x14ac:dyDescent="0.3">
      <c r="A102" s="1">
        <v>101</v>
      </c>
      <c r="B102" s="1">
        <v>10052</v>
      </c>
      <c r="C102" s="1" t="s">
        <v>134</v>
      </c>
      <c r="D102" s="9" t="s">
        <v>565</v>
      </c>
      <c r="E102" s="1" t="s">
        <v>135</v>
      </c>
      <c r="F102" s="1" t="s">
        <v>501</v>
      </c>
      <c r="G102" s="1">
        <v>12500</v>
      </c>
      <c r="H102" s="1">
        <v>12500</v>
      </c>
      <c r="I102" s="1">
        <v>0</v>
      </c>
      <c r="J102" s="1">
        <v>0</v>
      </c>
      <c r="K102" s="1" t="s">
        <v>556</v>
      </c>
    </row>
    <row r="103" spans="1:11" x14ac:dyDescent="0.3">
      <c r="A103" s="1">
        <v>102</v>
      </c>
      <c r="B103" s="1">
        <v>10053</v>
      </c>
      <c r="C103" s="1" t="s">
        <v>136</v>
      </c>
      <c r="D103" s="9" t="s">
        <v>565</v>
      </c>
      <c r="E103" s="1" t="s">
        <v>55</v>
      </c>
      <c r="F103" s="1" t="str">
        <f>_xlfn.XLOOKUP(B103,'February 2025'!B:B,'February 2025'!F:F)</f>
        <v>Manufacturing</v>
      </c>
      <c r="G103" s="1">
        <v>13000</v>
      </c>
      <c r="H103" s="1">
        <v>13000</v>
      </c>
      <c r="I103" s="1">
        <v>0</v>
      </c>
      <c r="J103" s="1">
        <v>0</v>
      </c>
      <c r="K103" s="1" t="str">
        <f>_xlfn.XLOOKUP(C103,'February 2025'!C:C,'February 2025'!K:K)</f>
        <v>L-7</v>
      </c>
    </row>
    <row r="104" spans="1:11" x14ac:dyDescent="0.3">
      <c r="A104" s="1">
        <v>103</v>
      </c>
      <c r="B104" s="1">
        <v>10054</v>
      </c>
      <c r="C104" s="1" t="s">
        <v>137</v>
      </c>
      <c r="D104" s="9" t="s">
        <v>565</v>
      </c>
      <c r="E104" s="1" t="s">
        <v>55</v>
      </c>
      <c r="F104" s="1" t="str">
        <f>_xlfn.XLOOKUP(B104,'February 2025'!B:B,'February 2025'!F:F)</f>
        <v>Domestic</v>
      </c>
      <c r="G104" s="1">
        <v>14500</v>
      </c>
      <c r="H104" s="1">
        <v>14500</v>
      </c>
      <c r="I104" s="1">
        <v>0</v>
      </c>
      <c r="J104" s="1">
        <v>0</v>
      </c>
      <c r="K104" s="1" t="str">
        <f>_xlfn.XLOOKUP(C104,'February 2025'!C:C,'February 2025'!K:K)</f>
        <v>L-7</v>
      </c>
    </row>
    <row r="105" spans="1:11" x14ac:dyDescent="0.3">
      <c r="A105" s="1">
        <v>104</v>
      </c>
      <c r="B105" s="1">
        <v>10055</v>
      </c>
      <c r="C105" s="1" t="s">
        <v>138</v>
      </c>
      <c r="D105" s="9" t="s">
        <v>565</v>
      </c>
      <c r="E105" s="1" t="s">
        <v>53</v>
      </c>
      <c r="F105" s="1" t="str">
        <f>_xlfn.XLOOKUP(C105,'[1]January 2025'!$C:$C,'[1]January 2025'!$I:$I,"")</f>
        <v>Domestic</v>
      </c>
      <c r="G105" s="1">
        <v>11000</v>
      </c>
      <c r="H105" s="1">
        <v>11000</v>
      </c>
      <c r="I105" s="1">
        <v>0</v>
      </c>
      <c r="J105" s="1">
        <v>0</v>
      </c>
      <c r="K105" s="1" t="str">
        <f>_xlfn.XLOOKUP(C105,'February 2025'!C:C,'February 2025'!K:K)</f>
        <v>L-10</v>
      </c>
    </row>
    <row r="106" spans="1:11" x14ac:dyDescent="0.3">
      <c r="A106" s="1">
        <v>105</v>
      </c>
      <c r="B106" s="1">
        <v>10056</v>
      </c>
      <c r="C106" s="1" t="s">
        <v>139</v>
      </c>
      <c r="D106" s="9" t="s">
        <v>565</v>
      </c>
      <c r="E106" s="1" t="s">
        <v>53</v>
      </c>
      <c r="F106" s="1" t="s">
        <v>501</v>
      </c>
      <c r="G106" s="1">
        <v>11000</v>
      </c>
      <c r="H106" s="1">
        <v>11000</v>
      </c>
      <c r="I106" s="1">
        <v>0</v>
      </c>
      <c r="J106" s="1">
        <v>0</v>
      </c>
      <c r="K106" s="1" t="s">
        <v>557</v>
      </c>
    </row>
    <row r="107" spans="1:11" x14ac:dyDescent="0.3">
      <c r="A107" s="1">
        <v>106</v>
      </c>
      <c r="B107" s="1">
        <v>10057</v>
      </c>
      <c r="C107" s="1" t="s">
        <v>140</v>
      </c>
      <c r="D107" s="9" t="s">
        <v>565</v>
      </c>
      <c r="E107" s="1" t="s">
        <v>12</v>
      </c>
      <c r="F107" s="1" t="str">
        <f>_xlfn.XLOOKUP(B107,'February 2025'!B:B,'February 2025'!F:F)</f>
        <v>Manufacturing</v>
      </c>
      <c r="G107" s="1">
        <v>22000</v>
      </c>
      <c r="H107" s="1">
        <v>22000</v>
      </c>
      <c r="I107" s="1">
        <v>0</v>
      </c>
      <c r="J107" s="1">
        <v>0</v>
      </c>
      <c r="K107" s="1" t="str">
        <f>_xlfn.XLOOKUP(C107,'February 2025'!C:C,'February 2025'!K:K)</f>
        <v>L-9</v>
      </c>
    </row>
    <row r="108" spans="1:11" x14ac:dyDescent="0.3">
      <c r="A108" s="1">
        <v>107</v>
      </c>
      <c r="B108" s="1">
        <v>169</v>
      </c>
      <c r="C108" s="1" t="s">
        <v>141</v>
      </c>
      <c r="D108" s="9" t="s">
        <v>565</v>
      </c>
      <c r="E108" s="1" t="s">
        <v>61</v>
      </c>
      <c r="F108" s="1" t="s">
        <v>501</v>
      </c>
      <c r="G108" s="1">
        <v>13500</v>
      </c>
      <c r="H108" s="1">
        <v>13500</v>
      </c>
      <c r="I108" s="1">
        <v>0</v>
      </c>
      <c r="J108" s="1">
        <v>0</v>
      </c>
      <c r="K108" s="1" t="s">
        <v>556</v>
      </c>
    </row>
    <row r="109" spans="1:11" x14ac:dyDescent="0.3">
      <c r="A109" s="1">
        <v>108</v>
      </c>
      <c r="B109" s="1">
        <v>10059</v>
      </c>
      <c r="C109" s="1" t="s">
        <v>142</v>
      </c>
      <c r="D109" s="9" t="s">
        <v>565</v>
      </c>
      <c r="E109" s="1" t="s">
        <v>53</v>
      </c>
      <c r="F109" s="1" t="s">
        <v>501</v>
      </c>
      <c r="G109" s="1">
        <v>11000</v>
      </c>
      <c r="H109" s="1">
        <v>11000</v>
      </c>
      <c r="I109" s="1">
        <v>0</v>
      </c>
      <c r="J109" s="1">
        <v>0</v>
      </c>
      <c r="K109" s="1" t="s">
        <v>557</v>
      </c>
    </row>
    <row r="110" spans="1:11" x14ac:dyDescent="0.3">
      <c r="A110" s="1">
        <v>109</v>
      </c>
      <c r="B110" s="1">
        <v>173</v>
      </c>
      <c r="C110" s="1" t="s">
        <v>143</v>
      </c>
      <c r="D110" s="9" t="s">
        <v>565</v>
      </c>
      <c r="E110" s="1" t="s">
        <v>53</v>
      </c>
      <c r="F110" s="1" t="s">
        <v>501</v>
      </c>
      <c r="G110" s="1">
        <v>11000</v>
      </c>
      <c r="H110" s="1">
        <v>11000</v>
      </c>
      <c r="I110" s="1">
        <v>0</v>
      </c>
      <c r="J110" s="1">
        <v>0</v>
      </c>
      <c r="K110" s="1" t="s">
        <v>557</v>
      </c>
    </row>
    <row r="111" spans="1:11" x14ac:dyDescent="0.3">
      <c r="A111" s="1">
        <v>110</v>
      </c>
      <c r="B111" s="1">
        <v>10061</v>
      </c>
      <c r="C111" s="1" t="s">
        <v>144</v>
      </c>
      <c r="D111" s="9" t="s">
        <v>565</v>
      </c>
      <c r="E111" s="1" t="s">
        <v>8</v>
      </c>
      <c r="F111" s="1" t="str">
        <f>_xlfn.XLOOKUP(B111,'February 2025'!B:B,'February 2025'!F:F)</f>
        <v>Domestic</v>
      </c>
      <c r="G111" s="1">
        <v>8800</v>
      </c>
      <c r="H111" s="1">
        <v>8800</v>
      </c>
      <c r="I111" s="1">
        <v>0</v>
      </c>
      <c r="J111" s="1">
        <v>0</v>
      </c>
      <c r="K111" s="1" t="str">
        <f>_xlfn.XLOOKUP(C111,'February 2025'!C:C,'February 2025'!K:K)</f>
        <v>L-9</v>
      </c>
    </row>
    <row r="112" spans="1:11" x14ac:dyDescent="0.3">
      <c r="A112" s="1">
        <v>111</v>
      </c>
      <c r="B112" s="1">
        <v>10062</v>
      </c>
      <c r="C112" s="1" t="s">
        <v>145</v>
      </c>
      <c r="D112" s="9" t="s">
        <v>565</v>
      </c>
      <c r="E112" s="1" t="s">
        <v>53</v>
      </c>
      <c r="F112" s="1" t="str">
        <f>_xlfn.XLOOKUP(B112,'February 2025'!B:B,'February 2025'!F:F)</f>
        <v>Manufacturing</v>
      </c>
      <c r="G112" s="1">
        <v>10500</v>
      </c>
      <c r="H112" s="1">
        <v>10500</v>
      </c>
      <c r="I112" s="1">
        <v>0</v>
      </c>
      <c r="J112" s="1">
        <v>0</v>
      </c>
      <c r="K112" s="1" t="str">
        <f>_xlfn.XLOOKUP(C112,'February 2025'!C:C,'February 2025'!K:K)</f>
        <v>L-10</v>
      </c>
    </row>
    <row r="113" spans="1:11" x14ac:dyDescent="0.3">
      <c r="A113" s="1">
        <v>112</v>
      </c>
      <c r="B113" s="1">
        <v>10063</v>
      </c>
      <c r="C113" s="1" t="s">
        <v>146</v>
      </c>
      <c r="D113" s="9" t="s">
        <v>565</v>
      </c>
      <c r="E113" s="1" t="s">
        <v>53</v>
      </c>
      <c r="F113" s="1" t="str">
        <f>_xlfn.XLOOKUP(B113,'February 2025'!B:B,'February 2025'!F:F)</f>
        <v>Manufacturing</v>
      </c>
      <c r="G113" s="1">
        <v>11000</v>
      </c>
      <c r="H113" s="1">
        <v>11000</v>
      </c>
      <c r="I113" s="1">
        <v>0</v>
      </c>
      <c r="J113" s="1">
        <v>0</v>
      </c>
      <c r="K113" s="1" t="str">
        <f>_xlfn.XLOOKUP(C113,'February 2025'!C:C,'February 2025'!K:K)</f>
        <v>L-10</v>
      </c>
    </row>
    <row r="114" spans="1:11" x14ac:dyDescent="0.3">
      <c r="A114" s="1">
        <v>113</v>
      </c>
      <c r="B114" s="1">
        <v>10064</v>
      </c>
      <c r="C114" s="1" t="s">
        <v>147</v>
      </c>
      <c r="D114" s="9" t="s">
        <v>565</v>
      </c>
      <c r="E114" s="1" t="s">
        <v>35</v>
      </c>
      <c r="F114" s="1" t="str">
        <f>_xlfn.XLOOKUP(C114,'[1]January 2025'!$C:$C,'[1]January 2025'!$I:$I,"")</f>
        <v>Manufacturing</v>
      </c>
      <c r="G114" s="1">
        <v>13500</v>
      </c>
      <c r="H114" s="1">
        <v>13500</v>
      </c>
      <c r="I114" s="1">
        <v>0</v>
      </c>
      <c r="J114" s="1">
        <v>0</v>
      </c>
      <c r="K114" s="1" t="str">
        <f>_xlfn.XLOOKUP(C114,'February 2025'!C:C,'February 2025'!K:K)</f>
        <v>L-9</v>
      </c>
    </row>
    <row r="115" spans="1:11" x14ac:dyDescent="0.3">
      <c r="A115" s="1">
        <v>114</v>
      </c>
      <c r="B115" s="1">
        <v>10065</v>
      </c>
      <c r="C115" s="1" t="s">
        <v>148</v>
      </c>
      <c r="D115" s="9" t="s">
        <v>565</v>
      </c>
      <c r="E115" s="1" t="s">
        <v>35</v>
      </c>
      <c r="F115" s="1" t="s">
        <v>501</v>
      </c>
      <c r="G115" s="1">
        <v>11500</v>
      </c>
      <c r="H115" s="1">
        <v>11500</v>
      </c>
      <c r="I115" s="1">
        <v>0</v>
      </c>
      <c r="J115" s="1">
        <v>0</v>
      </c>
      <c r="K115" s="1" t="s">
        <v>556</v>
      </c>
    </row>
    <row r="116" spans="1:11" x14ac:dyDescent="0.3">
      <c r="A116" s="1">
        <v>115</v>
      </c>
      <c r="B116" s="1">
        <v>10066</v>
      </c>
      <c r="C116" s="1" t="s">
        <v>149</v>
      </c>
      <c r="D116" s="9" t="s">
        <v>565</v>
      </c>
      <c r="E116" s="1" t="s">
        <v>35</v>
      </c>
      <c r="F116" s="1" t="s">
        <v>501</v>
      </c>
      <c r="G116" s="1">
        <v>12500</v>
      </c>
      <c r="H116" s="1">
        <v>12500</v>
      </c>
      <c r="I116" s="1">
        <v>0</v>
      </c>
      <c r="J116" s="1">
        <v>0</v>
      </c>
      <c r="K116" s="1" t="s">
        <v>556</v>
      </c>
    </row>
    <row r="117" spans="1:11" x14ac:dyDescent="0.3">
      <c r="A117" s="1">
        <v>116</v>
      </c>
      <c r="B117" s="1">
        <v>10067</v>
      </c>
      <c r="C117" s="1" t="s">
        <v>40</v>
      </c>
      <c r="D117" s="9" t="s">
        <v>565</v>
      </c>
      <c r="E117" s="1" t="s">
        <v>61</v>
      </c>
      <c r="F117" s="1" t="str">
        <f>_xlfn.XLOOKUP(C117,'[1]January 2025'!$C:$C,'[1]January 2025'!$I:$I,"")</f>
        <v>Manufacturing</v>
      </c>
      <c r="G117" s="1">
        <v>11500</v>
      </c>
      <c r="H117" s="1">
        <v>11500</v>
      </c>
      <c r="I117" s="1">
        <v>0</v>
      </c>
      <c r="J117" s="1">
        <v>0</v>
      </c>
      <c r="K117" s="1" t="str">
        <f>_xlfn.XLOOKUP(C117,'February 2025'!C:C,'February 2025'!K:K)</f>
        <v>L-8</v>
      </c>
    </row>
    <row r="118" spans="1:11" x14ac:dyDescent="0.3">
      <c r="A118" s="1">
        <v>117</v>
      </c>
      <c r="B118" s="1">
        <v>10068</v>
      </c>
      <c r="C118" s="1" t="s">
        <v>150</v>
      </c>
      <c r="D118" s="9" t="s">
        <v>565</v>
      </c>
      <c r="E118" s="1" t="s">
        <v>53</v>
      </c>
      <c r="F118" s="1" t="str">
        <f>_xlfn.XLOOKUP(C118,'[1]January 2025'!$C:$C,'[1]January 2025'!$I:$I,"")</f>
        <v>Domestic</v>
      </c>
      <c r="G118" s="1">
        <v>12000</v>
      </c>
      <c r="H118" s="1">
        <v>12000</v>
      </c>
      <c r="I118" s="1">
        <v>0</v>
      </c>
      <c r="J118" s="1">
        <v>0</v>
      </c>
      <c r="K118" s="1" t="str">
        <f>_xlfn.XLOOKUP(C118,'February 2025'!C:C,'February 2025'!K:K)</f>
        <v>L-10</v>
      </c>
    </row>
    <row r="119" spans="1:11" x14ac:dyDescent="0.3">
      <c r="A119" s="1">
        <v>118</v>
      </c>
      <c r="B119" s="1">
        <v>10069</v>
      </c>
      <c r="C119" s="1" t="s">
        <v>151</v>
      </c>
      <c r="D119" s="9" t="s">
        <v>565</v>
      </c>
      <c r="E119" s="1" t="s">
        <v>35</v>
      </c>
      <c r="F119" s="1" t="str">
        <f>_xlfn.XLOOKUP(B119,'February 2025'!B:B,'February 2025'!F:F)</f>
        <v>Manufacturing</v>
      </c>
      <c r="G119" s="1">
        <v>13000</v>
      </c>
      <c r="H119" s="1">
        <v>13000</v>
      </c>
      <c r="I119" s="1">
        <v>0</v>
      </c>
      <c r="J119" s="1">
        <v>0</v>
      </c>
      <c r="K119" s="1" t="str">
        <f>_xlfn.XLOOKUP(C119,'February 2025'!C:C,'February 2025'!K:K)</f>
        <v>L-9</v>
      </c>
    </row>
    <row r="120" spans="1:11" x14ac:dyDescent="0.3">
      <c r="A120" s="1">
        <v>119</v>
      </c>
      <c r="B120" s="1">
        <v>10070</v>
      </c>
      <c r="C120" s="1" t="s">
        <v>152</v>
      </c>
      <c r="D120" s="9" t="s">
        <v>565</v>
      </c>
      <c r="E120" s="1" t="s">
        <v>35</v>
      </c>
      <c r="F120" s="1" t="str">
        <f>_xlfn.XLOOKUP(B120,'February 2025'!B:B,'February 2025'!F:F)</f>
        <v>Domestic</v>
      </c>
      <c r="G120" s="1">
        <v>13500</v>
      </c>
      <c r="H120" s="1">
        <v>13500</v>
      </c>
      <c r="I120" s="1">
        <v>0</v>
      </c>
      <c r="J120" s="1">
        <v>0</v>
      </c>
      <c r="K120" s="1" t="str">
        <f>_xlfn.XLOOKUP(C120,'February 2025'!C:C,'February 2025'!K:K)</f>
        <v>L-9</v>
      </c>
    </row>
    <row r="121" spans="1:11" x14ac:dyDescent="0.3">
      <c r="A121" s="1">
        <v>120</v>
      </c>
      <c r="B121" s="1">
        <v>10071</v>
      </c>
      <c r="C121" s="1" t="s">
        <v>153</v>
      </c>
      <c r="D121" s="9" t="s">
        <v>565</v>
      </c>
      <c r="E121" s="1" t="s">
        <v>61</v>
      </c>
      <c r="F121" s="1" t="s">
        <v>501</v>
      </c>
      <c r="G121" s="1">
        <v>12000</v>
      </c>
      <c r="H121" s="1">
        <v>12000</v>
      </c>
      <c r="I121" s="1">
        <v>0</v>
      </c>
      <c r="J121" s="1">
        <v>0</v>
      </c>
      <c r="K121" s="1" t="s">
        <v>556</v>
      </c>
    </row>
    <row r="122" spans="1:11" x14ac:dyDescent="0.3">
      <c r="A122" s="1">
        <v>121</v>
      </c>
      <c r="B122" s="1">
        <v>186</v>
      </c>
      <c r="C122" s="1" t="s">
        <v>154</v>
      </c>
      <c r="D122" s="9" t="s">
        <v>565</v>
      </c>
      <c r="E122" s="1" t="s">
        <v>53</v>
      </c>
      <c r="F122" s="1" t="s">
        <v>501</v>
      </c>
      <c r="G122" s="1">
        <v>11000</v>
      </c>
      <c r="H122" s="1">
        <v>11000</v>
      </c>
      <c r="I122" s="1">
        <v>0</v>
      </c>
      <c r="J122" s="1">
        <v>0</v>
      </c>
      <c r="K122" s="1" t="s">
        <v>557</v>
      </c>
    </row>
    <row r="123" spans="1:11" x14ac:dyDescent="0.3">
      <c r="A123" s="1">
        <v>122</v>
      </c>
      <c r="B123" s="1">
        <v>188</v>
      </c>
      <c r="C123" s="1" t="s">
        <v>155</v>
      </c>
      <c r="D123" s="9" t="s">
        <v>565</v>
      </c>
      <c r="E123" s="1" t="s">
        <v>61</v>
      </c>
      <c r="F123" s="1" t="s">
        <v>501</v>
      </c>
      <c r="G123" s="1">
        <v>11000</v>
      </c>
      <c r="H123" s="1">
        <v>11000</v>
      </c>
      <c r="I123" s="1">
        <v>0</v>
      </c>
      <c r="J123" s="1">
        <v>0</v>
      </c>
      <c r="K123" s="1" t="s">
        <v>556</v>
      </c>
    </row>
    <row r="124" spans="1:11" x14ac:dyDescent="0.3">
      <c r="A124" s="1">
        <v>123</v>
      </c>
      <c r="B124" s="1">
        <v>10074</v>
      </c>
      <c r="C124" s="1" t="s">
        <v>95</v>
      </c>
      <c r="D124" s="9" t="s">
        <v>565</v>
      </c>
      <c r="E124" s="1" t="s">
        <v>53</v>
      </c>
      <c r="F124" s="1" t="str">
        <f>_xlfn.XLOOKUP(C124,'[1]January 2025'!$C:$C,'[1]January 2025'!$I:$I,"")</f>
        <v>Domestic</v>
      </c>
      <c r="G124" s="1">
        <v>11000</v>
      </c>
      <c r="H124" s="1">
        <v>11000</v>
      </c>
      <c r="I124" s="1">
        <v>0</v>
      </c>
      <c r="J124" s="1">
        <v>0</v>
      </c>
      <c r="K124" s="1" t="str">
        <f>_xlfn.XLOOKUP(C124,'February 2025'!C:C,'February 2025'!K:K)</f>
        <v>L-10</v>
      </c>
    </row>
    <row r="125" spans="1:11" x14ac:dyDescent="0.3">
      <c r="A125" s="1">
        <v>124</v>
      </c>
      <c r="B125" s="1">
        <v>190</v>
      </c>
      <c r="C125" s="1" t="s">
        <v>156</v>
      </c>
      <c r="D125" s="9" t="s">
        <v>565</v>
      </c>
      <c r="E125" s="1" t="s">
        <v>35</v>
      </c>
      <c r="F125" s="1" t="s">
        <v>501</v>
      </c>
      <c r="G125" s="1">
        <v>8500</v>
      </c>
      <c r="H125" s="1">
        <v>8500</v>
      </c>
      <c r="I125" s="1">
        <v>0</v>
      </c>
      <c r="J125" s="1">
        <v>0</v>
      </c>
      <c r="K125" s="1" t="s">
        <v>556</v>
      </c>
    </row>
    <row r="126" spans="1:11" x14ac:dyDescent="0.3">
      <c r="A126" s="1">
        <v>125</v>
      </c>
      <c r="B126" s="1">
        <v>10076</v>
      </c>
      <c r="C126" s="1" t="s">
        <v>157</v>
      </c>
      <c r="D126" s="9" t="s">
        <v>565</v>
      </c>
      <c r="E126" s="1" t="s">
        <v>61</v>
      </c>
      <c r="F126" s="1" t="str">
        <f>_xlfn.XLOOKUP(B126,'February 2025'!B:B,'February 2025'!F:F)</f>
        <v>Manufacturing</v>
      </c>
      <c r="G126" s="1">
        <v>12500</v>
      </c>
      <c r="H126" s="1">
        <v>12500</v>
      </c>
      <c r="I126" s="1">
        <v>0</v>
      </c>
      <c r="J126" s="1">
        <v>0</v>
      </c>
      <c r="K126" s="1" t="str">
        <f>_xlfn.XLOOKUP(C126,'February 2025'!C:C,'February 2025'!K:K)</f>
        <v>L-9</v>
      </c>
    </row>
    <row r="127" spans="1:11" x14ac:dyDescent="0.3">
      <c r="A127" s="1">
        <v>126</v>
      </c>
      <c r="B127" s="1">
        <v>192</v>
      </c>
      <c r="C127" s="1" t="s">
        <v>158</v>
      </c>
      <c r="D127" s="9" t="s">
        <v>565</v>
      </c>
      <c r="E127" s="1" t="s">
        <v>35</v>
      </c>
      <c r="F127" s="1" t="s">
        <v>501</v>
      </c>
      <c r="G127" s="1">
        <v>8000</v>
      </c>
      <c r="H127" s="1">
        <v>8000</v>
      </c>
      <c r="I127" s="1">
        <v>0</v>
      </c>
      <c r="J127" s="1">
        <v>0</v>
      </c>
      <c r="K127" s="1" t="s">
        <v>556</v>
      </c>
    </row>
    <row r="128" spans="1:11" x14ac:dyDescent="0.3">
      <c r="A128" s="1">
        <v>127</v>
      </c>
      <c r="B128" s="1">
        <v>10078</v>
      </c>
      <c r="C128" s="1" t="s">
        <v>159</v>
      </c>
      <c r="D128" s="9" t="s">
        <v>565</v>
      </c>
      <c r="E128" s="1" t="s">
        <v>12</v>
      </c>
      <c r="F128" s="1" t="str">
        <f>_xlfn.XLOOKUP(B128,'February 2025'!B:B,'February 2025'!F:F)</f>
        <v>Manufacturing</v>
      </c>
      <c r="G128" s="1">
        <v>19000</v>
      </c>
      <c r="H128" s="1">
        <v>19000</v>
      </c>
      <c r="I128" s="1">
        <v>0</v>
      </c>
      <c r="J128" s="1">
        <v>0</v>
      </c>
      <c r="K128" s="1" t="str">
        <f>_xlfn.XLOOKUP(C128,'February 2025'!C:C,'February 2025'!K:K)</f>
        <v>L-9</v>
      </c>
    </row>
    <row r="129" spans="1:11" x14ac:dyDescent="0.3">
      <c r="A129" s="1">
        <v>128</v>
      </c>
      <c r="B129" s="1">
        <v>10079</v>
      </c>
      <c r="C129" s="1" t="s">
        <v>160</v>
      </c>
      <c r="D129" s="9" t="s">
        <v>565</v>
      </c>
      <c r="E129" s="1" t="s">
        <v>35</v>
      </c>
      <c r="F129" s="1" t="s">
        <v>501</v>
      </c>
      <c r="G129" s="1">
        <v>11500</v>
      </c>
      <c r="H129" s="1">
        <v>11500</v>
      </c>
      <c r="I129" s="1">
        <v>0</v>
      </c>
      <c r="J129" s="1">
        <v>0</v>
      </c>
      <c r="K129" s="1" t="s">
        <v>556</v>
      </c>
    </row>
    <row r="130" spans="1:11" x14ac:dyDescent="0.3">
      <c r="A130" s="1">
        <v>129</v>
      </c>
      <c r="B130" s="1">
        <v>10080</v>
      </c>
      <c r="C130" s="1" t="s">
        <v>161</v>
      </c>
      <c r="D130" s="9" t="s">
        <v>565</v>
      </c>
      <c r="E130" s="1" t="s">
        <v>35</v>
      </c>
      <c r="F130" s="1" t="s">
        <v>501</v>
      </c>
      <c r="G130" s="1">
        <v>13000</v>
      </c>
      <c r="H130" s="1">
        <v>13000</v>
      </c>
      <c r="I130" s="1">
        <v>0</v>
      </c>
      <c r="J130" s="1">
        <v>0</v>
      </c>
      <c r="K130" s="1" t="s">
        <v>556</v>
      </c>
    </row>
    <row r="131" spans="1:11" x14ac:dyDescent="0.3">
      <c r="A131" s="1">
        <v>130</v>
      </c>
      <c r="B131" s="1">
        <v>10081</v>
      </c>
      <c r="C131" s="1" t="s">
        <v>162</v>
      </c>
      <c r="D131" s="9" t="s">
        <v>565</v>
      </c>
      <c r="E131" s="1" t="s">
        <v>35</v>
      </c>
      <c r="F131" s="1" t="s">
        <v>501</v>
      </c>
      <c r="G131" s="1">
        <v>13000</v>
      </c>
      <c r="H131" s="1">
        <v>13000</v>
      </c>
      <c r="I131" s="1">
        <v>0</v>
      </c>
      <c r="J131" s="1">
        <v>0</v>
      </c>
      <c r="K131" s="1" t="s">
        <v>556</v>
      </c>
    </row>
    <row r="132" spans="1:11" x14ac:dyDescent="0.3">
      <c r="A132" s="1">
        <v>131</v>
      </c>
      <c r="B132" s="1">
        <v>197</v>
      </c>
      <c r="C132" s="1" t="s">
        <v>163</v>
      </c>
      <c r="D132" s="9" t="s">
        <v>565</v>
      </c>
      <c r="E132" s="1" t="s">
        <v>35</v>
      </c>
      <c r="F132" s="1" t="s">
        <v>501</v>
      </c>
      <c r="G132" s="1">
        <v>13000</v>
      </c>
      <c r="H132" s="1">
        <v>13000</v>
      </c>
      <c r="I132" s="1">
        <v>0</v>
      </c>
      <c r="J132" s="1">
        <v>0</v>
      </c>
      <c r="K132" s="1" t="s">
        <v>556</v>
      </c>
    </row>
    <row r="133" spans="1:11" x14ac:dyDescent="0.3">
      <c r="A133" s="1">
        <v>132</v>
      </c>
      <c r="B133" s="1">
        <v>10083</v>
      </c>
      <c r="C133" s="1" t="s">
        <v>164</v>
      </c>
      <c r="D133" s="9" t="s">
        <v>565</v>
      </c>
      <c r="E133" s="1" t="s">
        <v>35</v>
      </c>
      <c r="F133" s="1" t="s">
        <v>501</v>
      </c>
      <c r="G133" s="1">
        <v>12500</v>
      </c>
      <c r="H133" s="1">
        <v>12500</v>
      </c>
      <c r="I133" s="1">
        <v>0</v>
      </c>
      <c r="J133" s="1">
        <v>0</v>
      </c>
      <c r="K133" s="1" t="s">
        <v>556</v>
      </c>
    </row>
    <row r="134" spans="1:11" x14ac:dyDescent="0.3">
      <c r="A134" s="1">
        <v>133</v>
      </c>
      <c r="B134" s="1">
        <v>10084</v>
      </c>
      <c r="C134" s="1" t="s">
        <v>165</v>
      </c>
      <c r="D134" s="9" t="s">
        <v>565</v>
      </c>
      <c r="E134" s="1" t="s">
        <v>35</v>
      </c>
      <c r="F134" s="1" t="str">
        <f>_xlfn.XLOOKUP(B134,'February 2025'!B:B,'February 2025'!F:F)</f>
        <v>Manufacturing</v>
      </c>
      <c r="G134" s="1">
        <v>12000</v>
      </c>
      <c r="H134" s="1">
        <v>12000</v>
      </c>
      <c r="I134" s="1">
        <v>0</v>
      </c>
      <c r="J134" s="1">
        <v>0</v>
      </c>
      <c r="K134" s="1" t="s">
        <v>556</v>
      </c>
    </row>
    <row r="135" spans="1:11" x14ac:dyDescent="0.3">
      <c r="A135" s="1">
        <v>134</v>
      </c>
      <c r="B135" s="1">
        <v>10085</v>
      </c>
      <c r="C135" s="1" t="s">
        <v>166</v>
      </c>
      <c r="D135" s="9" t="s">
        <v>565</v>
      </c>
      <c r="E135" s="1" t="s">
        <v>35</v>
      </c>
      <c r="F135" s="1" t="s">
        <v>501</v>
      </c>
      <c r="G135" s="1">
        <v>11000</v>
      </c>
      <c r="H135" s="1">
        <v>11000</v>
      </c>
      <c r="I135" s="1">
        <v>0</v>
      </c>
      <c r="J135" s="1">
        <v>0</v>
      </c>
      <c r="K135" s="1" t="s">
        <v>556</v>
      </c>
    </row>
    <row r="136" spans="1:11" x14ac:dyDescent="0.3">
      <c r="A136" s="1">
        <v>135</v>
      </c>
      <c r="B136" s="1">
        <v>201</v>
      </c>
      <c r="C136" s="1" t="s">
        <v>167</v>
      </c>
      <c r="D136" s="9" t="s">
        <v>565</v>
      </c>
      <c r="E136" s="1" t="s">
        <v>61</v>
      </c>
      <c r="F136" s="1" t="s">
        <v>501</v>
      </c>
      <c r="G136" s="1">
        <v>11000</v>
      </c>
      <c r="H136" s="1">
        <v>11000</v>
      </c>
      <c r="I136" s="1">
        <v>0</v>
      </c>
      <c r="J136" s="1">
        <v>0</v>
      </c>
      <c r="K136" s="1" t="s">
        <v>556</v>
      </c>
    </row>
    <row r="137" spans="1:11" x14ac:dyDescent="0.3">
      <c r="A137" s="1">
        <v>136</v>
      </c>
      <c r="B137" s="1">
        <v>10087</v>
      </c>
      <c r="C137" s="1" t="s">
        <v>168</v>
      </c>
      <c r="D137" s="9" t="s">
        <v>565</v>
      </c>
      <c r="E137" s="1" t="s">
        <v>53</v>
      </c>
      <c r="F137" s="1" t="s">
        <v>501</v>
      </c>
      <c r="G137" s="1">
        <v>11000</v>
      </c>
      <c r="H137" s="1">
        <v>11000</v>
      </c>
      <c r="I137" s="1">
        <v>0</v>
      </c>
      <c r="J137" s="1">
        <v>0</v>
      </c>
      <c r="K137" s="1" t="s">
        <v>557</v>
      </c>
    </row>
    <row r="138" spans="1:11" x14ac:dyDescent="0.3">
      <c r="A138" s="1">
        <v>137</v>
      </c>
      <c r="B138" s="1">
        <v>10086</v>
      </c>
      <c r="C138" s="1" t="s">
        <v>169</v>
      </c>
      <c r="D138" s="9" t="s">
        <v>565</v>
      </c>
      <c r="E138" s="1" t="s">
        <v>35</v>
      </c>
      <c r="F138" s="1" t="s">
        <v>501</v>
      </c>
      <c r="G138" s="1">
        <v>12000</v>
      </c>
      <c r="H138" s="1">
        <v>12000</v>
      </c>
      <c r="I138" s="1">
        <v>0</v>
      </c>
      <c r="J138" s="1">
        <v>0</v>
      </c>
      <c r="K138" s="1" t="s">
        <v>556</v>
      </c>
    </row>
    <row r="139" spans="1:11" x14ac:dyDescent="0.3">
      <c r="A139" s="1">
        <v>138</v>
      </c>
      <c r="B139" s="1">
        <v>204</v>
      </c>
      <c r="C139" s="1" t="s">
        <v>98</v>
      </c>
      <c r="D139" s="9" t="s">
        <v>565</v>
      </c>
      <c r="E139" s="1" t="s">
        <v>53</v>
      </c>
      <c r="F139" s="1" t="str">
        <f>_xlfn.XLOOKUP(C139,'[1]January 2025'!$C:$C,'[1]January 2025'!$I:$I,"")</f>
        <v>Domestic</v>
      </c>
      <c r="G139" s="1">
        <v>11000</v>
      </c>
      <c r="H139" s="1">
        <v>11000</v>
      </c>
      <c r="I139" s="1">
        <v>0</v>
      </c>
      <c r="J139" s="1">
        <v>0</v>
      </c>
      <c r="K139" s="1" t="str">
        <f>_xlfn.XLOOKUP(C139,'February 2025'!C:C,'February 2025'!K:K)</f>
        <v>L-10</v>
      </c>
    </row>
    <row r="140" spans="1:11" x14ac:dyDescent="0.3">
      <c r="A140" s="1">
        <v>139</v>
      </c>
      <c r="B140" s="1">
        <v>10082</v>
      </c>
      <c r="C140" s="1" t="s">
        <v>170</v>
      </c>
      <c r="D140" s="9" t="s">
        <v>565</v>
      </c>
      <c r="E140" s="1" t="s">
        <v>53</v>
      </c>
      <c r="F140" s="1" t="s">
        <v>501</v>
      </c>
      <c r="G140" s="1">
        <v>11000</v>
      </c>
      <c r="H140" s="1">
        <v>11000</v>
      </c>
      <c r="I140" s="1">
        <v>0</v>
      </c>
      <c r="J140" s="1">
        <v>0</v>
      </c>
      <c r="K140" s="1" t="s">
        <v>557</v>
      </c>
    </row>
    <row r="141" spans="1:11" x14ac:dyDescent="0.3">
      <c r="A141" s="1">
        <v>140</v>
      </c>
      <c r="B141" s="1">
        <v>102</v>
      </c>
      <c r="C141" s="1" t="s">
        <v>171</v>
      </c>
      <c r="D141" s="9" t="s">
        <v>565</v>
      </c>
      <c r="E141" s="1" t="s">
        <v>53</v>
      </c>
      <c r="F141" s="1" t="s">
        <v>501</v>
      </c>
      <c r="G141" s="1">
        <v>10000</v>
      </c>
      <c r="H141" s="1">
        <v>10000</v>
      </c>
      <c r="I141" s="1">
        <v>0</v>
      </c>
      <c r="J141" s="1">
        <v>0</v>
      </c>
      <c r="K141" s="1" t="s">
        <v>557</v>
      </c>
    </row>
    <row r="142" spans="1:11" x14ac:dyDescent="0.3">
      <c r="A142" s="1">
        <v>141</v>
      </c>
      <c r="B142" s="1">
        <v>103</v>
      </c>
      <c r="C142" s="1" t="s">
        <v>172</v>
      </c>
      <c r="D142" s="9" t="s">
        <v>565</v>
      </c>
      <c r="E142" s="1" t="s">
        <v>35</v>
      </c>
      <c r="F142" s="1" t="s">
        <v>501</v>
      </c>
      <c r="G142" s="1">
        <v>12000</v>
      </c>
      <c r="H142" s="1">
        <v>12000</v>
      </c>
      <c r="I142" s="1">
        <v>0</v>
      </c>
      <c r="J142" s="1">
        <v>0</v>
      </c>
      <c r="K142" s="1" t="s">
        <v>556</v>
      </c>
    </row>
    <row r="143" spans="1:11" x14ac:dyDescent="0.3">
      <c r="A143" s="1">
        <v>142</v>
      </c>
      <c r="B143" s="1">
        <v>104</v>
      </c>
      <c r="C143" s="1" t="s">
        <v>173</v>
      </c>
      <c r="D143" s="9" t="s">
        <v>565</v>
      </c>
      <c r="E143" s="1" t="s">
        <v>55</v>
      </c>
      <c r="F143" s="1" t="s">
        <v>504</v>
      </c>
      <c r="G143" s="1">
        <v>17500</v>
      </c>
      <c r="H143" s="1">
        <v>17500</v>
      </c>
      <c r="I143" s="1">
        <v>0</v>
      </c>
      <c r="J143" s="1">
        <v>0</v>
      </c>
      <c r="K143" s="1" t="s">
        <v>554</v>
      </c>
    </row>
    <row r="144" spans="1:11" x14ac:dyDescent="0.3">
      <c r="A144" s="1">
        <v>143</v>
      </c>
      <c r="B144" s="1">
        <v>108</v>
      </c>
      <c r="C144" s="1" t="s">
        <v>174</v>
      </c>
      <c r="D144" s="9" t="s">
        <v>565</v>
      </c>
      <c r="E144" s="1" t="s">
        <v>61</v>
      </c>
      <c r="F144" s="1" t="s">
        <v>501</v>
      </c>
      <c r="G144" s="1">
        <v>12000</v>
      </c>
      <c r="H144" s="1">
        <v>12000</v>
      </c>
      <c r="I144" s="1">
        <v>0</v>
      </c>
      <c r="J144" s="1">
        <v>0</v>
      </c>
      <c r="K144" s="1" t="s">
        <v>556</v>
      </c>
    </row>
    <row r="145" spans="1:11" x14ac:dyDescent="0.3">
      <c r="A145" s="1">
        <v>144</v>
      </c>
      <c r="B145" s="1">
        <v>109</v>
      </c>
      <c r="C145" s="1" t="s">
        <v>175</v>
      </c>
      <c r="D145" s="9" t="s">
        <v>565</v>
      </c>
      <c r="E145" s="1" t="s">
        <v>21</v>
      </c>
      <c r="F145" s="1" t="s">
        <v>501</v>
      </c>
      <c r="G145" s="1">
        <v>16200</v>
      </c>
      <c r="H145" s="1">
        <v>16200</v>
      </c>
      <c r="I145" s="1">
        <v>0</v>
      </c>
      <c r="J145" s="1">
        <v>0</v>
      </c>
      <c r="K145" s="1" t="s">
        <v>556</v>
      </c>
    </row>
    <row r="146" spans="1:11" x14ac:dyDescent="0.3">
      <c r="A146" s="1">
        <v>145</v>
      </c>
      <c r="B146" s="1">
        <v>110</v>
      </c>
      <c r="C146" s="1" t="s">
        <v>176</v>
      </c>
      <c r="D146" s="9" t="s">
        <v>565</v>
      </c>
      <c r="E146" s="1" t="s">
        <v>53</v>
      </c>
      <c r="F146" s="1" t="s">
        <v>501</v>
      </c>
      <c r="G146" s="1">
        <v>11500</v>
      </c>
      <c r="H146" s="1">
        <v>11500</v>
      </c>
      <c r="I146" s="1">
        <v>0</v>
      </c>
      <c r="J146" s="1">
        <v>0</v>
      </c>
      <c r="K146" s="1" t="s">
        <v>557</v>
      </c>
    </row>
    <row r="147" spans="1:11" x14ac:dyDescent="0.3">
      <c r="A147" s="1">
        <v>146</v>
      </c>
      <c r="B147" s="1">
        <v>111</v>
      </c>
      <c r="C147" s="1" t="s">
        <v>177</v>
      </c>
      <c r="D147" s="9" t="s">
        <v>565</v>
      </c>
      <c r="E147" s="1" t="s">
        <v>53</v>
      </c>
      <c r="F147" s="1" t="s">
        <v>501</v>
      </c>
      <c r="G147" s="1">
        <v>11500</v>
      </c>
      <c r="H147" s="1">
        <v>11500</v>
      </c>
      <c r="I147" s="1">
        <v>0</v>
      </c>
      <c r="J147" s="1">
        <v>0</v>
      </c>
      <c r="K147" s="1" t="s">
        <v>557</v>
      </c>
    </row>
    <row r="148" spans="1:11" x14ac:dyDescent="0.3">
      <c r="A148" s="1">
        <v>147</v>
      </c>
      <c r="B148" s="1">
        <v>117</v>
      </c>
      <c r="C148" s="1" t="s">
        <v>178</v>
      </c>
      <c r="D148" s="9" t="s">
        <v>565</v>
      </c>
      <c r="E148" s="1" t="s">
        <v>53</v>
      </c>
      <c r="F148" s="1" t="s">
        <v>501</v>
      </c>
      <c r="G148" s="1">
        <v>10000</v>
      </c>
      <c r="H148" s="1">
        <v>10000</v>
      </c>
      <c r="I148" s="1">
        <v>0</v>
      </c>
      <c r="J148" s="1">
        <v>0</v>
      </c>
      <c r="K148" s="1" t="s">
        <v>557</v>
      </c>
    </row>
    <row r="149" spans="1:11" x14ac:dyDescent="0.3">
      <c r="A149" s="1">
        <v>148</v>
      </c>
      <c r="B149" s="1">
        <v>123</v>
      </c>
      <c r="C149" s="1" t="s">
        <v>179</v>
      </c>
      <c r="D149" s="9" t="s">
        <v>565</v>
      </c>
      <c r="E149" s="1" t="s">
        <v>35</v>
      </c>
      <c r="F149" s="1" t="s">
        <v>501</v>
      </c>
      <c r="G149" s="1">
        <v>12000</v>
      </c>
      <c r="H149" s="1">
        <v>12000</v>
      </c>
      <c r="I149" s="1">
        <v>0</v>
      </c>
      <c r="J149" s="1">
        <v>0</v>
      </c>
      <c r="K149" s="1" t="s">
        <v>556</v>
      </c>
    </row>
    <row r="150" spans="1:11" x14ac:dyDescent="0.3">
      <c r="A150" s="1">
        <v>149</v>
      </c>
      <c r="B150" s="1">
        <v>131</v>
      </c>
      <c r="C150" s="1" t="s">
        <v>180</v>
      </c>
      <c r="D150" s="9" t="s">
        <v>565</v>
      </c>
      <c r="E150" s="1" t="s">
        <v>53</v>
      </c>
      <c r="F150" s="1" t="s">
        <v>501</v>
      </c>
      <c r="G150" s="1">
        <v>11500</v>
      </c>
      <c r="H150" s="1">
        <v>11500</v>
      </c>
      <c r="I150" s="1">
        <v>0</v>
      </c>
      <c r="J150" s="1">
        <v>0</v>
      </c>
      <c r="K150" s="1" t="s">
        <v>557</v>
      </c>
    </row>
    <row r="151" spans="1:11" x14ac:dyDescent="0.3">
      <c r="A151" s="1">
        <v>150</v>
      </c>
      <c r="B151" s="1">
        <v>139</v>
      </c>
      <c r="C151" s="1" t="s">
        <v>181</v>
      </c>
      <c r="D151" s="9" t="s">
        <v>565</v>
      </c>
      <c r="E151" s="1" t="s">
        <v>53</v>
      </c>
      <c r="F151" s="1" t="s">
        <v>501</v>
      </c>
      <c r="G151" s="1">
        <v>11500</v>
      </c>
      <c r="H151" s="1">
        <v>11500</v>
      </c>
      <c r="I151" s="1">
        <v>0</v>
      </c>
      <c r="J151" s="1">
        <v>0</v>
      </c>
      <c r="K151" s="1" t="s">
        <v>557</v>
      </c>
    </row>
    <row r="152" spans="1:11" x14ac:dyDescent="0.3">
      <c r="A152" s="1">
        <v>151</v>
      </c>
      <c r="B152" s="1">
        <v>152</v>
      </c>
      <c r="C152" s="1" t="s">
        <v>182</v>
      </c>
      <c r="D152" s="9" t="s">
        <v>565</v>
      </c>
      <c r="E152" s="1" t="s">
        <v>35</v>
      </c>
      <c r="F152" s="1" t="s">
        <v>501</v>
      </c>
      <c r="G152" s="1">
        <v>13000</v>
      </c>
      <c r="H152" s="1">
        <v>13000</v>
      </c>
      <c r="I152" s="1">
        <v>0</v>
      </c>
      <c r="J152" s="1">
        <v>0</v>
      </c>
      <c r="K152" s="1" t="s">
        <v>556</v>
      </c>
    </row>
    <row r="153" spans="1:11" x14ac:dyDescent="0.3">
      <c r="A153" s="1">
        <v>152</v>
      </c>
      <c r="B153" s="1">
        <v>153</v>
      </c>
      <c r="C153" s="1" t="s">
        <v>183</v>
      </c>
      <c r="D153" s="9" t="s">
        <v>565</v>
      </c>
      <c r="E153" s="1" t="s">
        <v>35</v>
      </c>
      <c r="F153" s="1" t="s">
        <v>501</v>
      </c>
      <c r="G153" s="1">
        <v>13500</v>
      </c>
      <c r="H153" s="1">
        <v>13500</v>
      </c>
      <c r="I153" s="1">
        <v>0</v>
      </c>
      <c r="J153" s="1">
        <v>0</v>
      </c>
      <c r="K153" s="1" t="s">
        <v>556</v>
      </c>
    </row>
    <row r="154" spans="1:11" x14ac:dyDescent="0.3">
      <c r="A154" s="1">
        <v>153</v>
      </c>
      <c r="B154" s="1">
        <v>163</v>
      </c>
      <c r="C154" s="1" t="s">
        <v>184</v>
      </c>
      <c r="D154" s="9" t="s">
        <v>565</v>
      </c>
      <c r="E154" s="1" t="s">
        <v>35</v>
      </c>
      <c r="F154" s="1" t="s">
        <v>501</v>
      </c>
      <c r="G154" s="1">
        <v>11000</v>
      </c>
      <c r="H154" s="1">
        <v>11000</v>
      </c>
      <c r="I154" s="1">
        <v>0</v>
      </c>
      <c r="J154" s="1">
        <v>0</v>
      </c>
      <c r="K154" s="1" t="s">
        <v>556</v>
      </c>
    </row>
    <row r="155" spans="1:11" x14ac:dyDescent="0.3">
      <c r="A155" s="1">
        <v>154</v>
      </c>
      <c r="B155" s="1">
        <v>170</v>
      </c>
      <c r="C155" s="1" t="s">
        <v>72</v>
      </c>
      <c r="D155" s="9" t="s">
        <v>565</v>
      </c>
      <c r="E155" s="1" t="s">
        <v>67</v>
      </c>
      <c r="F155" s="1" t="str">
        <f>_xlfn.XLOOKUP(C155,'[1]January 2025'!$C:$C,'[1]January 2025'!$I:$I,"")</f>
        <v>Manufacturing</v>
      </c>
      <c r="G155" s="1">
        <v>30000</v>
      </c>
      <c r="H155" s="1">
        <v>30000</v>
      </c>
      <c r="I155" s="1">
        <v>0</v>
      </c>
      <c r="J155" s="1">
        <v>0</v>
      </c>
      <c r="K155" s="1" t="str">
        <f>_xlfn.XLOOKUP(C155,'February 2025'!C:C,'February 2025'!K:K)</f>
        <v>L-9</v>
      </c>
    </row>
    <row r="156" spans="1:11" x14ac:dyDescent="0.3">
      <c r="A156" s="1">
        <v>155</v>
      </c>
      <c r="B156" s="1">
        <v>171</v>
      </c>
      <c r="C156" s="1" t="s">
        <v>73</v>
      </c>
      <c r="D156" s="9" t="s">
        <v>565</v>
      </c>
      <c r="E156" s="1" t="s">
        <v>67</v>
      </c>
      <c r="F156" s="1" t="s">
        <v>501</v>
      </c>
      <c r="G156" s="1">
        <v>30000</v>
      </c>
      <c r="H156" s="1">
        <v>30000</v>
      </c>
      <c r="I156" s="1">
        <v>0</v>
      </c>
      <c r="J156" s="1">
        <v>0</v>
      </c>
      <c r="K156" s="1" t="s">
        <v>556</v>
      </c>
    </row>
    <row r="157" spans="1:11" x14ac:dyDescent="0.3">
      <c r="A157" s="1">
        <v>156</v>
      </c>
      <c r="B157" s="1">
        <v>175</v>
      </c>
      <c r="C157" s="1" t="s">
        <v>185</v>
      </c>
      <c r="D157" s="9" t="s">
        <v>565</v>
      </c>
      <c r="E157" s="1" t="s">
        <v>53</v>
      </c>
      <c r="F157" s="1" t="s">
        <v>501</v>
      </c>
      <c r="G157" s="1">
        <v>8000</v>
      </c>
      <c r="H157" s="1">
        <v>8000</v>
      </c>
      <c r="I157" s="1">
        <v>0</v>
      </c>
      <c r="J157" s="1">
        <v>0</v>
      </c>
      <c r="K157" s="1" t="s">
        <v>557</v>
      </c>
    </row>
    <row r="158" spans="1:11" x14ac:dyDescent="0.3">
      <c r="A158" s="1">
        <v>157</v>
      </c>
      <c r="B158" s="1">
        <v>178</v>
      </c>
      <c r="C158" s="1" t="s">
        <v>186</v>
      </c>
      <c r="D158" s="9" t="s">
        <v>565</v>
      </c>
      <c r="E158" s="1" t="s">
        <v>53</v>
      </c>
      <c r="F158" s="1" t="s">
        <v>501</v>
      </c>
      <c r="G158" s="1">
        <v>11000</v>
      </c>
      <c r="H158" s="1">
        <v>11000</v>
      </c>
      <c r="I158" s="1">
        <v>0</v>
      </c>
      <c r="J158" s="1">
        <v>0</v>
      </c>
      <c r="K158" s="1" t="s">
        <v>557</v>
      </c>
    </row>
    <row r="159" spans="1:11" x14ac:dyDescent="0.3">
      <c r="A159" s="1">
        <v>158</v>
      </c>
      <c r="B159" s="1">
        <v>10088</v>
      </c>
      <c r="C159" s="1" t="s">
        <v>187</v>
      </c>
      <c r="D159" s="9" t="s">
        <v>565</v>
      </c>
      <c r="E159" s="1" t="s">
        <v>35</v>
      </c>
      <c r="F159" s="1" t="str">
        <f>_xlfn.XLOOKUP(B159,'February 2025'!B:B,'February 2025'!F:F)</f>
        <v>Manufacturing</v>
      </c>
      <c r="G159" s="1">
        <v>12500</v>
      </c>
      <c r="H159" s="1">
        <v>12500</v>
      </c>
      <c r="I159" s="1">
        <v>0</v>
      </c>
      <c r="J159" s="1">
        <v>0</v>
      </c>
      <c r="K159" s="1" t="s">
        <v>556</v>
      </c>
    </row>
    <row r="160" spans="1:11" x14ac:dyDescent="0.3">
      <c r="A160" s="1">
        <v>159</v>
      </c>
      <c r="B160" s="1">
        <v>187</v>
      </c>
      <c r="C160" s="1" t="s">
        <v>188</v>
      </c>
      <c r="D160" s="9" t="s">
        <v>565</v>
      </c>
      <c r="E160" s="1" t="s">
        <v>53</v>
      </c>
      <c r="F160" s="1" t="s">
        <v>501</v>
      </c>
      <c r="G160" s="1">
        <v>8000</v>
      </c>
      <c r="H160" s="1">
        <v>8000</v>
      </c>
      <c r="I160" s="1">
        <v>0</v>
      </c>
      <c r="J160" s="1">
        <v>0</v>
      </c>
      <c r="K160" s="1" t="s">
        <v>557</v>
      </c>
    </row>
    <row r="161" spans="1:11" x14ac:dyDescent="0.3">
      <c r="A161" s="1">
        <v>160</v>
      </c>
      <c r="B161" s="1">
        <v>20</v>
      </c>
      <c r="C161" s="1" t="s">
        <v>189</v>
      </c>
      <c r="D161" s="9" t="s">
        <v>565</v>
      </c>
      <c r="E161" s="1" t="s">
        <v>8</v>
      </c>
      <c r="F161" s="1" t="s">
        <v>501</v>
      </c>
      <c r="G161" s="1">
        <v>8500</v>
      </c>
      <c r="H161" s="1">
        <v>8500</v>
      </c>
      <c r="I161" s="1">
        <v>0</v>
      </c>
      <c r="J161" s="1">
        <v>0</v>
      </c>
      <c r="K161" s="1" t="s">
        <v>556</v>
      </c>
    </row>
    <row r="162" spans="1:11" x14ac:dyDescent="0.3">
      <c r="A162" s="1">
        <v>161</v>
      </c>
      <c r="B162" s="1">
        <v>41</v>
      </c>
      <c r="C162" s="1" t="s">
        <v>66</v>
      </c>
      <c r="D162" s="9" t="s">
        <v>565</v>
      </c>
      <c r="E162" s="1" t="s">
        <v>67</v>
      </c>
      <c r="F162" s="1" t="str">
        <f>_xlfn.XLOOKUP(B162,'February 2025'!B:B,'February 2025'!F:F)</f>
        <v>Manufacturing</v>
      </c>
      <c r="G162" s="1">
        <v>30000</v>
      </c>
      <c r="H162" s="1">
        <v>30000</v>
      </c>
      <c r="I162" s="1">
        <v>0</v>
      </c>
      <c r="J162" s="1">
        <v>0</v>
      </c>
      <c r="K162" s="1" t="str">
        <f>_xlfn.XLOOKUP(C162,'February 2025'!C:C,'February 2025'!K:K)</f>
        <v>L-9</v>
      </c>
    </row>
    <row r="163" spans="1:11" x14ac:dyDescent="0.3">
      <c r="A163" s="1">
        <v>162</v>
      </c>
      <c r="B163" s="1">
        <v>43</v>
      </c>
      <c r="C163" s="1" t="s">
        <v>68</v>
      </c>
      <c r="D163" s="9" t="s">
        <v>565</v>
      </c>
      <c r="E163" s="1" t="s">
        <v>67</v>
      </c>
      <c r="F163" s="1" t="str">
        <f>_xlfn.XLOOKUP(B163,'February 2025'!B:B,'February 2025'!F:F)</f>
        <v>Manufacturing</v>
      </c>
      <c r="G163" s="1">
        <v>30000</v>
      </c>
      <c r="H163" s="1">
        <v>30000</v>
      </c>
      <c r="I163" s="1">
        <v>0</v>
      </c>
      <c r="J163" s="1">
        <v>0</v>
      </c>
      <c r="K163" s="1" t="str">
        <f>_xlfn.XLOOKUP(C163,'February 2025'!C:C,'February 2025'!K:K)</f>
        <v>L-9</v>
      </c>
    </row>
    <row r="164" spans="1:11" x14ac:dyDescent="0.3">
      <c r="A164" s="1">
        <v>163</v>
      </c>
      <c r="B164" s="1">
        <v>44</v>
      </c>
      <c r="C164" s="1" t="s">
        <v>69</v>
      </c>
      <c r="D164" s="9" t="s">
        <v>565</v>
      </c>
      <c r="E164" s="1" t="s">
        <v>67</v>
      </c>
      <c r="F164" s="1" t="str">
        <f>_xlfn.XLOOKUP(B164,'February 2025'!B:B,'February 2025'!F:F)</f>
        <v>Manufacturing</v>
      </c>
      <c r="G164" s="1">
        <v>30000</v>
      </c>
      <c r="H164" s="1">
        <v>30000</v>
      </c>
      <c r="I164" s="1">
        <v>0</v>
      </c>
      <c r="J164" s="1">
        <v>0</v>
      </c>
      <c r="K164" s="1" t="str">
        <f>_xlfn.XLOOKUP(C164,'February 2025'!C:C,'February 2025'!K:K)</f>
        <v>L-9</v>
      </c>
    </row>
    <row r="165" spans="1:11" x14ac:dyDescent="0.3">
      <c r="A165" s="1">
        <v>164</v>
      </c>
      <c r="B165" s="1">
        <v>45</v>
      </c>
      <c r="C165" s="1" t="s">
        <v>190</v>
      </c>
      <c r="D165" s="9" t="s">
        <v>565</v>
      </c>
      <c r="E165" s="1" t="s">
        <v>67</v>
      </c>
      <c r="F165" s="1" t="s">
        <v>501</v>
      </c>
      <c r="G165" s="1">
        <v>30000</v>
      </c>
      <c r="H165" s="1">
        <v>30000</v>
      </c>
      <c r="I165" s="1">
        <v>0</v>
      </c>
      <c r="J165" s="1">
        <v>0</v>
      </c>
      <c r="K165" s="1" t="s">
        <v>556</v>
      </c>
    </row>
    <row r="166" spans="1:11" x14ac:dyDescent="0.3">
      <c r="A166" s="1">
        <v>165</v>
      </c>
      <c r="B166" s="1">
        <v>63</v>
      </c>
      <c r="C166" s="1" t="s">
        <v>71</v>
      </c>
      <c r="D166" s="9" t="s">
        <v>565</v>
      </c>
      <c r="E166" s="1" t="s">
        <v>67</v>
      </c>
      <c r="F166" s="1" t="str">
        <f>_xlfn.XLOOKUP(C166,'[1]January 2025'!$C:$C,'[1]January 2025'!$I:$I,"")</f>
        <v>Manufacturing</v>
      </c>
      <c r="G166" s="1">
        <v>30000</v>
      </c>
      <c r="H166" s="1">
        <v>30000</v>
      </c>
      <c r="I166" s="1">
        <v>0</v>
      </c>
      <c r="J166" s="1">
        <v>0</v>
      </c>
      <c r="K166" s="1" t="str">
        <f>_xlfn.XLOOKUP(C166,'February 2025'!C:C,'February 2025'!K:K)</f>
        <v>L-9</v>
      </c>
    </row>
    <row r="167" spans="1:11" x14ac:dyDescent="0.3">
      <c r="A167" s="1">
        <v>166</v>
      </c>
      <c r="B167" s="1">
        <v>65</v>
      </c>
      <c r="C167" s="1" t="s">
        <v>187</v>
      </c>
      <c r="D167" s="9" t="s">
        <v>565</v>
      </c>
      <c r="E167" s="1" t="s">
        <v>35</v>
      </c>
      <c r="F167" s="1" t="str">
        <f>_xlfn.XLOOKUP(C167,'[1]January 2025'!$C:$C,'[1]January 2025'!$I:$I,"")</f>
        <v>Manufacturing</v>
      </c>
      <c r="G167" s="1">
        <v>11000</v>
      </c>
      <c r="H167" s="1">
        <v>11000</v>
      </c>
      <c r="I167" s="1">
        <v>0</v>
      </c>
      <c r="J167" s="1">
        <v>0</v>
      </c>
      <c r="K167" s="1" t="s">
        <v>556</v>
      </c>
    </row>
    <row r="168" spans="1:11" x14ac:dyDescent="0.3">
      <c r="A168" s="1">
        <v>167</v>
      </c>
      <c r="B168" s="1">
        <v>67</v>
      </c>
      <c r="C168" s="1" t="s">
        <v>191</v>
      </c>
      <c r="D168" s="9" t="s">
        <v>565</v>
      </c>
      <c r="E168" s="1" t="s">
        <v>35</v>
      </c>
      <c r="F168" s="1" t="s">
        <v>501</v>
      </c>
      <c r="G168" s="1">
        <v>13500</v>
      </c>
      <c r="H168" s="1">
        <v>13500</v>
      </c>
      <c r="I168" s="1">
        <v>0</v>
      </c>
      <c r="J168" s="1">
        <v>0</v>
      </c>
      <c r="K168" s="1" t="s">
        <v>556</v>
      </c>
    </row>
    <row r="169" spans="1:11" x14ac:dyDescent="0.3">
      <c r="A169" s="1">
        <v>168</v>
      </c>
      <c r="B169" s="1">
        <v>83</v>
      </c>
      <c r="C169" s="1" t="s">
        <v>192</v>
      </c>
      <c r="D169" s="9" t="s">
        <v>565</v>
      </c>
      <c r="E169" s="1" t="s">
        <v>53</v>
      </c>
      <c r="F169" s="1" t="s">
        <v>501</v>
      </c>
      <c r="G169" s="1">
        <v>11500</v>
      </c>
      <c r="H169" s="1">
        <v>11500</v>
      </c>
      <c r="I169" s="1">
        <v>0</v>
      </c>
      <c r="J169" s="1">
        <v>0</v>
      </c>
      <c r="K169" s="1" t="s">
        <v>557</v>
      </c>
    </row>
    <row r="170" spans="1:11" x14ac:dyDescent="0.3">
      <c r="A170" s="1">
        <v>169</v>
      </c>
      <c r="B170" s="1">
        <v>85</v>
      </c>
      <c r="C170" s="1" t="s">
        <v>193</v>
      </c>
      <c r="D170" s="9" t="s">
        <v>565</v>
      </c>
      <c r="E170" s="1" t="s">
        <v>61</v>
      </c>
      <c r="F170" s="1" t="s">
        <v>501</v>
      </c>
      <c r="G170" s="1">
        <v>14000</v>
      </c>
      <c r="H170" s="1">
        <v>14000</v>
      </c>
      <c r="I170" s="1">
        <v>0</v>
      </c>
      <c r="J170" s="1">
        <v>0</v>
      </c>
      <c r="K170" s="1" t="s">
        <v>556</v>
      </c>
    </row>
    <row r="171" spans="1:11" x14ac:dyDescent="0.3">
      <c r="A171" s="1">
        <v>170</v>
      </c>
      <c r="B171" s="1">
        <v>87</v>
      </c>
      <c r="C171" s="1" t="s">
        <v>194</v>
      </c>
      <c r="D171" s="9" t="s">
        <v>565</v>
      </c>
      <c r="E171" s="1" t="s">
        <v>53</v>
      </c>
      <c r="F171" s="1" t="s">
        <v>501</v>
      </c>
      <c r="G171" s="1">
        <v>10500</v>
      </c>
      <c r="H171" s="1">
        <v>10500</v>
      </c>
      <c r="I171" s="1">
        <v>0</v>
      </c>
      <c r="J171" s="1">
        <v>0</v>
      </c>
      <c r="K171" s="1" t="s">
        <v>557</v>
      </c>
    </row>
    <row r="172" spans="1:11" x14ac:dyDescent="0.3">
      <c r="A172" s="1">
        <v>171</v>
      </c>
      <c r="B172" s="1">
        <v>88</v>
      </c>
      <c r="C172" s="1" t="s">
        <v>195</v>
      </c>
      <c r="D172" s="9" t="s">
        <v>565</v>
      </c>
      <c r="E172" s="1" t="s">
        <v>53</v>
      </c>
      <c r="F172" s="1" t="s">
        <v>501</v>
      </c>
      <c r="G172" s="1">
        <v>11000</v>
      </c>
      <c r="H172" s="1">
        <v>11000</v>
      </c>
      <c r="I172" s="1">
        <v>0</v>
      </c>
      <c r="J172" s="1">
        <v>0</v>
      </c>
      <c r="K172" s="1" t="s">
        <v>557</v>
      </c>
    </row>
    <row r="173" spans="1:11" x14ac:dyDescent="0.3">
      <c r="A173" s="1">
        <v>172</v>
      </c>
      <c r="B173" s="1">
        <v>92</v>
      </c>
      <c r="C173" s="1" t="s">
        <v>196</v>
      </c>
      <c r="D173" s="9" t="s">
        <v>565</v>
      </c>
      <c r="E173" s="1" t="s">
        <v>55</v>
      </c>
      <c r="F173" s="1" t="s">
        <v>504</v>
      </c>
      <c r="G173" s="1">
        <v>13000</v>
      </c>
      <c r="H173" s="1">
        <v>13000</v>
      </c>
      <c r="I173" s="1">
        <v>0</v>
      </c>
      <c r="J173" s="1">
        <v>0</v>
      </c>
      <c r="K173" s="1" t="s">
        <v>554</v>
      </c>
    </row>
    <row r="174" spans="1:11" x14ac:dyDescent="0.3">
      <c r="A174" s="1">
        <v>173</v>
      </c>
      <c r="B174" s="1">
        <v>97</v>
      </c>
      <c r="C174" s="1" t="s">
        <v>197</v>
      </c>
      <c r="D174" s="9" t="s">
        <v>565</v>
      </c>
      <c r="E174" s="1" t="s">
        <v>35</v>
      </c>
      <c r="F174" s="1" t="s">
        <v>501</v>
      </c>
      <c r="G174" s="1">
        <v>14000</v>
      </c>
      <c r="H174" s="1">
        <v>14000</v>
      </c>
      <c r="I174" s="1">
        <v>0</v>
      </c>
      <c r="J174" s="1">
        <v>0</v>
      </c>
      <c r="K174" s="1" t="s">
        <v>556</v>
      </c>
    </row>
    <row r="175" spans="1:11" x14ac:dyDescent="0.3">
      <c r="A175" s="1">
        <v>174</v>
      </c>
      <c r="B175" s="1">
        <v>98</v>
      </c>
      <c r="C175" s="1" t="s">
        <v>198</v>
      </c>
      <c r="D175" s="9" t="s">
        <v>565</v>
      </c>
      <c r="E175" s="1" t="s">
        <v>8</v>
      </c>
      <c r="F175" s="1" t="s">
        <v>501</v>
      </c>
      <c r="G175" s="1">
        <v>9000</v>
      </c>
      <c r="H175" s="1">
        <v>9000</v>
      </c>
      <c r="I175" s="1">
        <v>0</v>
      </c>
      <c r="J175" s="1">
        <v>0</v>
      </c>
      <c r="K175" s="1" t="s">
        <v>556</v>
      </c>
    </row>
    <row r="176" spans="1:11" x14ac:dyDescent="0.3">
      <c r="A176" s="1">
        <v>175</v>
      </c>
      <c r="B176" s="1">
        <v>50</v>
      </c>
      <c r="C176" s="1" t="s">
        <v>199</v>
      </c>
      <c r="D176" s="9" t="s">
        <v>564</v>
      </c>
      <c r="E176" s="1" t="s">
        <v>10</v>
      </c>
      <c r="F176" s="1" t="str">
        <f>_xlfn.XLOOKUP(B176,'February 2025'!B:B,'February 2025'!F:F)</f>
        <v>Manufacturing</v>
      </c>
      <c r="G176" s="1">
        <v>30000</v>
      </c>
      <c r="H176" s="1">
        <v>30000</v>
      </c>
      <c r="I176" s="1">
        <v>0</v>
      </c>
      <c r="J176" s="1">
        <v>0</v>
      </c>
      <c r="K176" s="1" t="str">
        <f>_xlfn.XLOOKUP(C176,'February 2025'!C:C,'February 2025'!K:K)</f>
        <v>L-6</v>
      </c>
    </row>
    <row r="177" spans="1:11" x14ac:dyDescent="0.3">
      <c r="A177" s="1">
        <v>176</v>
      </c>
      <c r="B177" s="1">
        <v>10089</v>
      </c>
      <c r="C177" s="1" t="s">
        <v>201</v>
      </c>
      <c r="D177" s="9" t="s">
        <v>565</v>
      </c>
      <c r="E177" s="1" t="s">
        <v>35</v>
      </c>
      <c r="F177" s="1" t="s">
        <v>501</v>
      </c>
      <c r="G177" s="1">
        <v>14000</v>
      </c>
      <c r="H177" s="1">
        <v>14000</v>
      </c>
      <c r="I177" s="1">
        <v>0</v>
      </c>
      <c r="J177" s="1">
        <v>0</v>
      </c>
      <c r="K177" s="1" t="s">
        <v>556</v>
      </c>
    </row>
    <row r="178" spans="1:11" x14ac:dyDescent="0.3">
      <c r="A178" s="1">
        <v>177</v>
      </c>
      <c r="B178" s="1">
        <v>10090</v>
      </c>
      <c r="C178" s="1" t="s">
        <v>202</v>
      </c>
      <c r="D178" s="9" t="s">
        <v>565</v>
      </c>
      <c r="E178" s="1" t="s">
        <v>8</v>
      </c>
      <c r="F178" s="1" t="s">
        <v>501</v>
      </c>
      <c r="G178" s="1">
        <v>8000</v>
      </c>
      <c r="H178" s="1">
        <v>8000</v>
      </c>
      <c r="I178" s="1">
        <v>0</v>
      </c>
      <c r="J178" s="1">
        <v>0</v>
      </c>
      <c r="K178" s="1" t="s">
        <v>556</v>
      </c>
    </row>
    <row r="179" spans="1:11" x14ac:dyDescent="0.3">
      <c r="A179" s="1">
        <v>178</v>
      </c>
      <c r="B179" s="1">
        <v>10091</v>
      </c>
      <c r="C179" s="1" t="s">
        <v>203</v>
      </c>
      <c r="D179" s="9" t="s">
        <v>565</v>
      </c>
      <c r="E179" s="1" t="s">
        <v>53</v>
      </c>
      <c r="F179" s="1" t="s">
        <v>501</v>
      </c>
      <c r="G179" s="1">
        <v>11000</v>
      </c>
      <c r="H179" s="1">
        <v>11000</v>
      </c>
      <c r="I179" s="1">
        <v>0</v>
      </c>
      <c r="J179" s="1">
        <v>0</v>
      </c>
      <c r="K179" s="1" t="s">
        <v>557</v>
      </c>
    </row>
    <row r="180" spans="1:11" x14ac:dyDescent="0.3">
      <c r="A180" s="1">
        <v>179</v>
      </c>
      <c r="B180" s="1">
        <v>10092</v>
      </c>
      <c r="C180" s="1" t="s">
        <v>204</v>
      </c>
      <c r="D180" s="9" t="s">
        <v>565</v>
      </c>
      <c r="E180" s="1" t="s">
        <v>10</v>
      </c>
      <c r="F180" s="1" t="str">
        <f>_xlfn.XLOOKUP(B180,'February 2025'!B:B,'February 2025'!F:F)</f>
        <v>Manufacturing</v>
      </c>
      <c r="G180" s="1">
        <v>17000</v>
      </c>
      <c r="H180" s="1">
        <v>17000</v>
      </c>
      <c r="I180" s="1">
        <v>0</v>
      </c>
      <c r="J180" s="1">
        <v>0</v>
      </c>
      <c r="K180" s="1" t="str">
        <f>_xlfn.XLOOKUP(C180,'February 2025'!C:C,'February 2025'!K:K)</f>
        <v>L-8</v>
      </c>
    </row>
    <row r="181" spans="1:11" x14ac:dyDescent="0.3">
      <c r="A181" s="1">
        <v>180</v>
      </c>
      <c r="B181" s="1">
        <v>10093</v>
      </c>
      <c r="C181" s="1" t="s">
        <v>205</v>
      </c>
      <c r="D181" s="9" t="s">
        <v>565</v>
      </c>
      <c r="E181" s="1" t="s">
        <v>55</v>
      </c>
      <c r="F181" s="1" t="str">
        <f>_xlfn.XLOOKUP(B181,'February 2025'!B:B,'February 2025'!F:F)</f>
        <v>Manufacturing</v>
      </c>
      <c r="G181" s="1">
        <v>12500</v>
      </c>
      <c r="H181" s="1">
        <v>12500</v>
      </c>
      <c r="I181" s="1">
        <v>0</v>
      </c>
      <c r="J181" s="1">
        <v>0</v>
      </c>
      <c r="K181" s="1" t="str">
        <f>_xlfn.XLOOKUP(C181,'February 2025'!C:C,'February 2025'!K:K)</f>
        <v>L-7</v>
      </c>
    </row>
    <row r="182" spans="1:11" x14ac:dyDescent="0.3">
      <c r="A182" s="1">
        <v>181</v>
      </c>
      <c r="B182" s="1">
        <v>10094</v>
      </c>
      <c r="C182" s="1" t="s">
        <v>206</v>
      </c>
      <c r="D182" s="9" t="s">
        <v>565</v>
      </c>
      <c r="E182" s="1" t="s">
        <v>53</v>
      </c>
      <c r="F182" s="1" t="str">
        <f>_xlfn.XLOOKUP(C182,'[1]January 2025'!$C:$C,'[1]January 2025'!$I:$I,"")</f>
        <v>Domestic</v>
      </c>
      <c r="G182" s="1">
        <v>11000</v>
      </c>
      <c r="H182" s="1">
        <v>11000</v>
      </c>
      <c r="I182" s="1">
        <v>0</v>
      </c>
      <c r="J182" s="1">
        <v>0</v>
      </c>
      <c r="K182" s="1" t="s">
        <v>557</v>
      </c>
    </row>
    <row r="183" spans="1:11" x14ac:dyDescent="0.3">
      <c r="A183" s="1">
        <v>182</v>
      </c>
      <c r="B183" s="1">
        <v>10095</v>
      </c>
      <c r="C183" s="1" t="s">
        <v>122</v>
      </c>
      <c r="D183" s="9" t="s">
        <v>565</v>
      </c>
      <c r="E183" s="1" t="s">
        <v>53</v>
      </c>
      <c r="F183" s="1" t="str">
        <f>_xlfn.XLOOKUP(C183,'[1]January 2025'!$C:$C,'[1]January 2025'!$I:$I,"")</f>
        <v>Domestic</v>
      </c>
      <c r="G183" s="1">
        <v>11000</v>
      </c>
      <c r="H183" s="1">
        <v>11000</v>
      </c>
      <c r="I183" s="1">
        <v>0</v>
      </c>
      <c r="J183" s="1">
        <v>0</v>
      </c>
      <c r="K183" s="1" t="str">
        <f>_xlfn.XLOOKUP(C183,'February 2025'!C:C,'February 2025'!K:K)</f>
        <v>L-9</v>
      </c>
    </row>
    <row r="184" spans="1:11" x14ac:dyDescent="0.3">
      <c r="A184" s="1">
        <v>183</v>
      </c>
      <c r="B184" s="1">
        <v>51</v>
      </c>
      <c r="C184" s="1" t="s">
        <v>207</v>
      </c>
      <c r="D184" s="9" t="s">
        <v>564</v>
      </c>
      <c r="E184" s="1" t="s">
        <v>208</v>
      </c>
      <c r="F184" s="1" t="str">
        <f ca="1">_xlfn.XLOOKUP(B184,'February 2025'!B:B,'February 2025'!F:F)</f>
        <v>Manufacturing</v>
      </c>
      <c r="G184" s="1">
        <v>35000</v>
      </c>
      <c r="H184" s="1">
        <v>35000</v>
      </c>
      <c r="I184" s="1">
        <v>0</v>
      </c>
      <c r="J184" s="1">
        <v>0</v>
      </c>
      <c r="K184" s="1" t="s">
        <v>553</v>
      </c>
    </row>
    <row r="185" spans="1:11" x14ac:dyDescent="0.3">
      <c r="A185" s="1">
        <v>184</v>
      </c>
      <c r="B185" s="1">
        <v>52</v>
      </c>
      <c r="C185" s="1" t="s">
        <v>209</v>
      </c>
      <c r="D185" s="9" t="s">
        <v>564</v>
      </c>
      <c r="E185" s="1" t="s">
        <v>47</v>
      </c>
      <c r="F185" s="1" t="str">
        <f>_xlfn.XLOOKUP(B185,'February 2025'!B:B,'February 2025'!F:F)</f>
        <v>Domestic</v>
      </c>
      <c r="G185" s="1">
        <v>50050</v>
      </c>
      <c r="H185" s="1">
        <v>48250</v>
      </c>
      <c r="I185" s="1">
        <v>1950</v>
      </c>
      <c r="J185" s="1">
        <v>0</v>
      </c>
      <c r="K185" s="1" t="s">
        <v>553</v>
      </c>
    </row>
    <row r="186" spans="1:11" x14ac:dyDescent="0.3">
      <c r="A186" s="1">
        <v>185</v>
      </c>
      <c r="B186" s="1">
        <v>10096</v>
      </c>
      <c r="C186" s="1" t="s">
        <v>210</v>
      </c>
      <c r="D186" s="9" t="s">
        <v>565</v>
      </c>
      <c r="E186" s="1" t="s">
        <v>61</v>
      </c>
      <c r="F186" s="1" t="str">
        <f>_xlfn.XLOOKUP(C186,'[1]January 2025'!$C:$C,'[1]January 2025'!$I:$I,"")</f>
        <v>Manufacturing</v>
      </c>
      <c r="G186" s="1">
        <v>13000</v>
      </c>
      <c r="H186" s="1">
        <v>13000</v>
      </c>
      <c r="I186" s="1">
        <v>0</v>
      </c>
      <c r="J186" s="1">
        <v>0</v>
      </c>
      <c r="K186" s="1" t="str">
        <f>_xlfn.XLOOKUP(C186,'February 2025'!C:C,'February 2025'!K:K)</f>
        <v>L-9</v>
      </c>
    </row>
    <row r="187" spans="1:11" x14ac:dyDescent="0.3">
      <c r="A187" s="1">
        <v>186</v>
      </c>
      <c r="B187" s="1">
        <v>10097</v>
      </c>
      <c r="C187" s="1" t="s">
        <v>211</v>
      </c>
      <c r="D187" s="9" t="s">
        <v>565</v>
      </c>
      <c r="E187" s="1" t="s">
        <v>53</v>
      </c>
      <c r="F187" s="1" t="str">
        <f>_xlfn.XLOOKUP(B187,'February 2025'!B:B,'February 2025'!F:F)</f>
        <v>Manufacturing</v>
      </c>
      <c r="G187" s="1">
        <v>12000</v>
      </c>
      <c r="H187" s="1">
        <v>12000</v>
      </c>
      <c r="I187" s="1">
        <v>0</v>
      </c>
      <c r="J187" s="1">
        <v>0</v>
      </c>
      <c r="K187" s="1" t="str">
        <f>_xlfn.XLOOKUP(C187,'February 2025'!C:C,'February 2025'!K:K)</f>
        <v>L-10</v>
      </c>
    </row>
    <row r="188" spans="1:11" x14ac:dyDescent="0.3">
      <c r="A188" s="1">
        <v>187</v>
      </c>
      <c r="B188" s="1">
        <v>10098</v>
      </c>
      <c r="C188" s="1" t="s">
        <v>203</v>
      </c>
      <c r="D188" s="9" t="s">
        <v>565</v>
      </c>
      <c r="E188" s="1" t="s">
        <v>53</v>
      </c>
      <c r="F188" s="1" t="s">
        <v>501</v>
      </c>
      <c r="G188" s="1">
        <v>10500</v>
      </c>
      <c r="H188" s="1">
        <v>10500</v>
      </c>
      <c r="I188" s="1">
        <v>0</v>
      </c>
      <c r="J188" s="1">
        <v>0</v>
      </c>
      <c r="K188" s="1" t="s">
        <v>557</v>
      </c>
    </row>
    <row r="189" spans="1:11" x14ac:dyDescent="0.3">
      <c r="A189" s="1">
        <v>188</v>
      </c>
      <c r="B189" s="1">
        <v>10099</v>
      </c>
      <c r="C189" s="1" t="s">
        <v>212</v>
      </c>
      <c r="D189" s="9" t="s">
        <v>565</v>
      </c>
      <c r="E189" s="1" t="s">
        <v>53</v>
      </c>
      <c r="F189" s="1" t="str">
        <f>_xlfn.XLOOKUP(B189,'February 2025'!B:B,'February 2025'!F:F)</f>
        <v>Manufacturing</v>
      </c>
      <c r="G189" s="1">
        <v>11000</v>
      </c>
      <c r="H189" s="1">
        <v>11000</v>
      </c>
      <c r="I189" s="1">
        <v>0</v>
      </c>
      <c r="J189" s="1">
        <v>0</v>
      </c>
      <c r="K189" s="1" t="str">
        <f>_xlfn.XLOOKUP(C189,'February 2025'!C:C,'February 2025'!K:K)</f>
        <v>L-10</v>
      </c>
    </row>
    <row r="190" spans="1:11" x14ac:dyDescent="0.3">
      <c r="A190" s="1">
        <v>189</v>
      </c>
      <c r="B190" s="1">
        <v>10100</v>
      </c>
      <c r="C190" s="1" t="s">
        <v>213</v>
      </c>
      <c r="D190" s="9" t="s">
        <v>565</v>
      </c>
      <c r="E190" s="1" t="s">
        <v>214</v>
      </c>
      <c r="F190" s="1" t="str">
        <f>_xlfn.XLOOKUP(C190,'[1]January 2025'!$C:$C,'[1]January 2025'!$I:$I,"")</f>
        <v>Manufacturing</v>
      </c>
      <c r="G190" s="1">
        <v>11500</v>
      </c>
      <c r="H190" s="1">
        <v>11500</v>
      </c>
      <c r="I190" s="1">
        <v>0</v>
      </c>
      <c r="J190" s="1">
        <v>0</v>
      </c>
      <c r="K190" s="1" t="s">
        <v>556</v>
      </c>
    </row>
    <row r="191" spans="1:11" x14ac:dyDescent="0.3">
      <c r="A191" s="1">
        <v>190</v>
      </c>
      <c r="B191" s="1">
        <v>10101</v>
      </c>
      <c r="C191" s="1" t="s">
        <v>215</v>
      </c>
      <c r="D191" s="9" t="s">
        <v>565</v>
      </c>
      <c r="E191" s="1" t="s">
        <v>35</v>
      </c>
      <c r="F191" s="1" t="str">
        <f>_xlfn.XLOOKUP(B191,'February 2025'!B:B,'February 2025'!F:F)</f>
        <v>Manufacturing</v>
      </c>
      <c r="G191" s="1">
        <v>11500</v>
      </c>
      <c r="H191" s="1">
        <v>11500</v>
      </c>
      <c r="I191" s="1">
        <v>0</v>
      </c>
      <c r="J191" s="1">
        <v>0</v>
      </c>
      <c r="K191" s="1" t="str">
        <f>_xlfn.XLOOKUP(C191,'February 2025'!C:C,'February 2025'!K:K)</f>
        <v>L-9</v>
      </c>
    </row>
    <row r="192" spans="1:11" x14ac:dyDescent="0.3">
      <c r="A192" s="1">
        <v>191</v>
      </c>
      <c r="B192" s="1">
        <v>10102</v>
      </c>
      <c r="C192" s="1" t="s">
        <v>133</v>
      </c>
      <c r="D192" s="9" t="s">
        <v>565</v>
      </c>
      <c r="E192" s="1" t="s">
        <v>35</v>
      </c>
      <c r="F192" s="1" t="str">
        <f>_xlfn.XLOOKUP(C192,'[1]January 2025'!$C:$C,'[1]January 2025'!$I:$I,"")</f>
        <v>Manufacturing</v>
      </c>
      <c r="G192" s="1">
        <v>12500</v>
      </c>
      <c r="H192" s="1">
        <v>12500</v>
      </c>
      <c r="I192" s="1">
        <v>0</v>
      </c>
      <c r="J192" s="1">
        <v>0</v>
      </c>
      <c r="K192" s="1" t="s">
        <v>556</v>
      </c>
    </row>
    <row r="193" spans="1:11" x14ac:dyDescent="0.3">
      <c r="A193" s="1">
        <v>192</v>
      </c>
      <c r="B193" s="1">
        <v>53</v>
      </c>
      <c r="C193" s="1" t="s">
        <v>216</v>
      </c>
      <c r="D193" s="9" t="s">
        <v>564</v>
      </c>
      <c r="E193" s="1" t="s">
        <v>67</v>
      </c>
      <c r="F193" s="1" t="s">
        <v>501</v>
      </c>
      <c r="G193" s="1">
        <v>30000</v>
      </c>
      <c r="H193" s="1">
        <v>30000</v>
      </c>
      <c r="I193" s="1">
        <v>0</v>
      </c>
      <c r="J193" s="1">
        <v>0</v>
      </c>
      <c r="K193" s="1" t="s">
        <v>556</v>
      </c>
    </row>
    <row r="194" spans="1:11" x14ac:dyDescent="0.3">
      <c r="A194" s="1">
        <v>193</v>
      </c>
      <c r="B194" s="1">
        <v>54</v>
      </c>
      <c r="C194" s="1" t="s">
        <v>217</v>
      </c>
      <c r="D194" s="9" t="s">
        <v>564</v>
      </c>
      <c r="E194" s="1" t="s">
        <v>67</v>
      </c>
      <c r="F194" s="1" t="str">
        <f>_xlfn.XLOOKUP(B194,'February 2025'!B:B,'February 2025'!F:F)</f>
        <v>Manufacturing</v>
      </c>
      <c r="G194" s="1">
        <v>30000</v>
      </c>
      <c r="H194" s="1">
        <v>30000</v>
      </c>
      <c r="I194" s="1">
        <v>0</v>
      </c>
      <c r="J194" s="1">
        <v>0</v>
      </c>
      <c r="K194" s="1" t="str">
        <f>_xlfn.XLOOKUP(C194,'February 2025'!C:C,'February 2025'!K:K)</f>
        <v>L-9</v>
      </c>
    </row>
    <row r="195" spans="1:11" x14ac:dyDescent="0.3">
      <c r="A195" s="1">
        <v>194</v>
      </c>
      <c r="B195" s="1">
        <v>55</v>
      </c>
      <c r="C195" s="1" t="s">
        <v>218</v>
      </c>
      <c r="D195" s="9" t="s">
        <v>564</v>
      </c>
      <c r="E195" s="1" t="s">
        <v>67</v>
      </c>
      <c r="F195" s="1" t="str">
        <f>_xlfn.XLOOKUP(B195,'February 2025'!B:B,'February 2025'!F:F)</f>
        <v>Manufacturing</v>
      </c>
      <c r="G195" s="1">
        <v>30000</v>
      </c>
      <c r="H195" s="1">
        <v>30000</v>
      </c>
      <c r="I195" s="1">
        <v>0</v>
      </c>
      <c r="J195" s="1">
        <v>0</v>
      </c>
      <c r="K195" s="1" t="str">
        <f>_xlfn.XLOOKUP(C195,'February 2025'!C:C,'February 2025'!K:K)</f>
        <v>L-9</v>
      </c>
    </row>
    <row r="196" spans="1:11" x14ac:dyDescent="0.3">
      <c r="A196" s="1">
        <v>195</v>
      </c>
      <c r="B196" s="1">
        <v>56</v>
      </c>
      <c r="C196" s="1" t="s">
        <v>219</v>
      </c>
      <c r="D196" s="9" t="s">
        <v>564</v>
      </c>
      <c r="E196" s="1" t="s">
        <v>67</v>
      </c>
      <c r="F196" s="1" t="str">
        <f>_xlfn.XLOOKUP(B196,'February 2025'!B:B,'February 2025'!F:F)</f>
        <v>Domestic</v>
      </c>
      <c r="G196" s="1">
        <v>30000</v>
      </c>
      <c r="H196" s="1">
        <v>30000</v>
      </c>
      <c r="I196" s="1">
        <v>0</v>
      </c>
      <c r="J196" s="1">
        <v>0</v>
      </c>
      <c r="K196" s="1" t="str">
        <f>_xlfn.XLOOKUP(C196,'February 2025'!C:C,'February 2025'!K:K)</f>
        <v>L-9</v>
      </c>
    </row>
    <row r="197" spans="1:11" x14ac:dyDescent="0.3">
      <c r="A197" s="1">
        <v>196</v>
      </c>
      <c r="B197" s="1">
        <v>57</v>
      </c>
      <c r="C197" s="1" t="s">
        <v>220</v>
      </c>
      <c r="D197" s="9" t="s">
        <v>564</v>
      </c>
      <c r="E197" s="1" t="s">
        <v>42</v>
      </c>
      <c r="F197" s="1" t="str">
        <f>_xlfn.XLOOKUP(B197,'February 2025'!B:B,'February 2025'!F:F)</f>
        <v>Manufacturing</v>
      </c>
      <c r="G197" s="1">
        <v>48600</v>
      </c>
      <c r="H197" s="1">
        <v>46800</v>
      </c>
      <c r="I197" s="1">
        <v>1950</v>
      </c>
      <c r="J197" s="1">
        <v>0</v>
      </c>
      <c r="K197" s="1" t="str">
        <f>_xlfn.XLOOKUP(C197,'February 2025'!C:C,'February 2025'!K:K)</f>
        <v>L-6</v>
      </c>
    </row>
    <row r="198" spans="1:11" x14ac:dyDescent="0.3">
      <c r="A198" s="1">
        <v>197</v>
      </c>
      <c r="B198" s="1">
        <v>58</v>
      </c>
      <c r="C198" s="1" t="s">
        <v>221</v>
      </c>
      <c r="D198" s="9" t="s">
        <v>564</v>
      </c>
      <c r="E198" s="1" t="s">
        <v>10</v>
      </c>
      <c r="F198" s="1" t="str">
        <f ca="1">_xlfn.XLOOKUP(B198,'February 2025'!B:B,'February 2025'!F:F)</f>
        <v>Manufacturing</v>
      </c>
      <c r="G198" s="1">
        <v>17000</v>
      </c>
      <c r="H198" s="1">
        <v>15852</v>
      </c>
      <c r="I198" s="1">
        <v>1105</v>
      </c>
      <c r="J198" s="1">
        <v>553</v>
      </c>
      <c r="K198" s="1" t="s">
        <v>553</v>
      </c>
    </row>
    <row r="199" spans="1:11" x14ac:dyDescent="0.3">
      <c r="A199" s="1">
        <v>198</v>
      </c>
      <c r="B199" s="1">
        <v>10103</v>
      </c>
      <c r="C199" s="1" t="s">
        <v>222</v>
      </c>
      <c r="D199" s="9" t="s">
        <v>565</v>
      </c>
      <c r="E199" s="1" t="s">
        <v>35</v>
      </c>
      <c r="F199" s="1" t="str">
        <f>_xlfn.XLOOKUP(B199,'February 2025'!B:B,'February 2025'!F:F)</f>
        <v>Manufacturing</v>
      </c>
      <c r="G199" s="1">
        <v>12500</v>
      </c>
      <c r="H199" s="1">
        <v>12500</v>
      </c>
      <c r="I199" s="1">
        <v>0</v>
      </c>
      <c r="J199" s="1">
        <v>0</v>
      </c>
      <c r="K199" s="1" t="str">
        <f>_xlfn.XLOOKUP(C199,'February 2025'!C:C,'February 2025'!K:K)</f>
        <v>L-9</v>
      </c>
    </row>
    <row r="200" spans="1:11" x14ac:dyDescent="0.3">
      <c r="A200" s="1">
        <v>199</v>
      </c>
      <c r="B200" s="1">
        <v>10104</v>
      </c>
      <c r="C200" s="1" t="s">
        <v>223</v>
      </c>
      <c r="D200" s="9" t="s">
        <v>565</v>
      </c>
      <c r="E200" s="1" t="s">
        <v>35</v>
      </c>
      <c r="F200" s="1" t="str">
        <f>_xlfn.XLOOKUP(B200,'February 2025'!B:B,'February 2025'!F:F)</f>
        <v>Manufacturing</v>
      </c>
      <c r="G200" s="1">
        <v>13500</v>
      </c>
      <c r="H200" s="1">
        <v>13500</v>
      </c>
      <c r="I200" s="1">
        <v>0</v>
      </c>
      <c r="J200" s="1">
        <v>0</v>
      </c>
      <c r="K200" s="1" t="str">
        <f>_xlfn.XLOOKUP(C200,'February 2025'!C:C,'February 2025'!K:K)</f>
        <v>L-9</v>
      </c>
    </row>
    <row r="201" spans="1:11" x14ac:dyDescent="0.3">
      <c r="A201" s="1">
        <v>200</v>
      </c>
      <c r="B201" s="1">
        <v>10105</v>
      </c>
      <c r="C201" s="1" t="s">
        <v>133</v>
      </c>
      <c r="D201" s="9" t="s">
        <v>565</v>
      </c>
      <c r="E201" s="1" t="s">
        <v>61</v>
      </c>
      <c r="F201" s="1" t="str">
        <f>_xlfn.XLOOKUP(C201,'[1]January 2025'!$C:$C,'[1]January 2025'!$I:$I,"")</f>
        <v>Manufacturing</v>
      </c>
      <c r="G201" s="1">
        <v>12000</v>
      </c>
      <c r="H201" s="1">
        <v>12000</v>
      </c>
      <c r="I201" s="1">
        <v>0</v>
      </c>
      <c r="J201" s="1">
        <v>0</v>
      </c>
      <c r="K201" s="1" t="s">
        <v>556</v>
      </c>
    </row>
    <row r="202" spans="1:11" x14ac:dyDescent="0.3">
      <c r="A202" s="1">
        <v>201</v>
      </c>
      <c r="B202" s="1">
        <v>10106</v>
      </c>
      <c r="C202" s="1" t="s">
        <v>224</v>
      </c>
      <c r="D202" s="9" t="s">
        <v>565</v>
      </c>
      <c r="E202" s="1" t="s">
        <v>61</v>
      </c>
      <c r="F202" s="1" t="s">
        <v>501</v>
      </c>
      <c r="G202" s="1">
        <v>11500</v>
      </c>
      <c r="H202" s="1">
        <v>11500</v>
      </c>
      <c r="I202" s="1">
        <v>0</v>
      </c>
      <c r="J202" s="1">
        <v>0</v>
      </c>
      <c r="K202" s="1" t="s">
        <v>556</v>
      </c>
    </row>
    <row r="203" spans="1:11" x14ac:dyDescent="0.3">
      <c r="A203" s="1">
        <v>202</v>
      </c>
      <c r="B203" s="1">
        <v>10107</v>
      </c>
      <c r="C203" s="1" t="s">
        <v>225</v>
      </c>
      <c r="D203" s="9" t="s">
        <v>565</v>
      </c>
      <c r="E203" s="1" t="s">
        <v>12</v>
      </c>
      <c r="F203" s="1" t="str">
        <f>_xlfn.XLOOKUP(C203,'[1]January 2025'!$C:$C,'[1]January 2025'!$I:$I,"")</f>
        <v>Manufacturing</v>
      </c>
      <c r="G203" s="1">
        <v>13000</v>
      </c>
      <c r="H203" s="1">
        <v>13000</v>
      </c>
      <c r="I203" s="1">
        <v>0</v>
      </c>
      <c r="J203" s="1">
        <v>0</v>
      </c>
      <c r="K203" s="1" t="str">
        <f>_xlfn.XLOOKUP(C203,'February 2025'!C:C,'February 2025'!K:K)</f>
        <v>L-9</v>
      </c>
    </row>
    <row r="204" spans="1:11" x14ac:dyDescent="0.3">
      <c r="A204" s="1">
        <v>203</v>
      </c>
      <c r="B204" s="1">
        <v>10108</v>
      </c>
      <c r="C204" s="1" t="s">
        <v>226</v>
      </c>
      <c r="D204" s="9" t="s">
        <v>565</v>
      </c>
      <c r="E204" s="1" t="s">
        <v>35</v>
      </c>
      <c r="F204" s="1" t="s">
        <v>501</v>
      </c>
      <c r="G204" s="1">
        <v>12000</v>
      </c>
      <c r="H204" s="1">
        <v>12000</v>
      </c>
      <c r="I204" s="1">
        <v>0</v>
      </c>
      <c r="J204" s="1">
        <v>0</v>
      </c>
      <c r="K204" s="1" t="s">
        <v>556</v>
      </c>
    </row>
    <row r="205" spans="1:11" x14ac:dyDescent="0.3">
      <c r="A205" s="1">
        <v>204</v>
      </c>
      <c r="B205" s="1">
        <v>10109</v>
      </c>
      <c r="C205" s="1" t="s">
        <v>227</v>
      </c>
      <c r="D205" s="9" t="s">
        <v>565</v>
      </c>
      <c r="E205" s="1" t="s">
        <v>35</v>
      </c>
      <c r="F205" s="1" t="str">
        <f>_xlfn.XLOOKUP(B205,'February 2025'!B:B,'February 2025'!F:F)</f>
        <v>Manufacturing</v>
      </c>
      <c r="G205" s="1">
        <v>11500</v>
      </c>
      <c r="H205" s="1">
        <v>11500</v>
      </c>
      <c r="I205" s="1">
        <v>0</v>
      </c>
      <c r="J205" s="1">
        <v>0</v>
      </c>
      <c r="K205" s="1" t="str">
        <f>_xlfn.XLOOKUP(C205,'February 2025'!C:C,'February 2025'!K:K)</f>
        <v>L-9</v>
      </c>
    </row>
    <row r="206" spans="1:11" x14ac:dyDescent="0.3">
      <c r="A206" s="1">
        <v>205</v>
      </c>
      <c r="B206" s="1">
        <v>10110</v>
      </c>
      <c r="C206" s="1" t="s">
        <v>228</v>
      </c>
      <c r="D206" s="9" t="s">
        <v>565</v>
      </c>
      <c r="E206" s="1" t="s">
        <v>61</v>
      </c>
      <c r="F206" s="1" t="str">
        <f>_xlfn.XLOOKUP(B206,'February 2025'!B:B,'February 2025'!F:F)</f>
        <v>Manufacturing</v>
      </c>
      <c r="G206" s="1">
        <v>11500</v>
      </c>
      <c r="H206" s="1">
        <v>11500</v>
      </c>
      <c r="I206" s="1">
        <v>0</v>
      </c>
      <c r="J206" s="1">
        <v>0</v>
      </c>
      <c r="K206" s="1" t="str">
        <f>_xlfn.XLOOKUP(C206,'February 2025'!C:C,'February 2025'!K:K)</f>
        <v>L-9</v>
      </c>
    </row>
    <row r="207" spans="1:11" x14ac:dyDescent="0.3">
      <c r="A207" s="1">
        <v>206</v>
      </c>
      <c r="B207" s="1">
        <v>10111</v>
      </c>
      <c r="C207" s="1" t="s">
        <v>229</v>
      </c>
      <c r="D207" s="9" t="s">
        <v>565</v>
      </c>
      <c r="E207" s="1" t="s">
        <v>61</v>
      </c>
      <c r="F207" s="1" t="str">
        <f>_xlfn.XLOOKUP(B207,'February 2025'!B:B,'February 2025'!F:F)</f>
        <v>Manufacturing</v>
      </c>
      <c r="G207" s="1">
        <v>12500</v>
      </c>
      <c r="H207" s="1">
        <v>12500</v>
      </c>
      <c r="I207" s="1">
        <v>0</v>
      </c>
      <c r="J207" s="1">
        <v>0</v>
      </c>
      <c r="K207" s="1" t="str">
        <f>_xlfn.XLOOKUP(C207,'February 2025'!C:C,'February 2025'!K:K)</f>
        <v>L-9</v>
      </c>
    </row>
    <row r="208" spans="1:11" x14ac:dyDescent="0.3">
      <c r="A208" s="1">
        <v>207</v>
      </c>
      <c r="B208" s="1">
        <v>10112</v>
      </c>
      <c r="C208" s="1" t="s">
        <v>230</v>
      </c>
      <c r="D208" s="9" t="s">
        <v>565</v>
      </c>
      <c r="E208" s="1" t="s">
        <v>35</v>
      </c>
      <c r="F208" s="1" t="str">
        <f>_xlfn.XLOOKUP(B208,'February 2025'!B:B,'February 2025'!F:F)</f>
        <v>Manufacturing</v>
      </c>
      <c r="G208" s="1">
        <v>11000</v>
      </c>
      <c r="H208" s="1">
        <v>11000</v>
      </c>
      <c r="I208" s="1">
        <v>0</v>
      </c>
      <c r="J208" s="1">
        <v>0</v>
      </c>
      <c r="K208" s="1" t="str">
        <f>_xlfn.XLOOKUP(C208,'February 2025'!C:C,'February 2025'!K:K)</f>
        <v>L-9</v>
      </c>
    </row>
    <row r="209" spans="1:11" x14ac:dyDescent="0.3">
      <c r="A209" s="1">
        <v>208</v>
      </c>
      <c r="B209" s="1">
        <v>10113</v>
      </c>
      <c r="C209" s="1" t="s">
        <v>231</v>
      </c>
      <c r="D209" s="9" t="s">
        <v>565</v>
      </c>
      <c r="E209" s="1" t="s">
        <v>53</v>
      </c>
      <c r="F209" s="1" t="str">
        <f>_xlfn.XLOOKUP(B209,'February 2025'!B:B,'February 2025'!F:F)</f>
        <v>Domestic</v>
      </c>
      <c r="G209" s="1">
        <v>12000</v>
      </c>
      <c r="H209" s="1">
        <v>12000</v>
      </c>
      <c r="I209" s="1">
        <v>0</v>
      </c>
      <c r="J209" s="1">
        <v>0</v>
      </c>
      <c r="K209" s="1" t="s">
        <v>557</v>
      </c>
    </row>
    <row r="210" spans="1:11" x14ac:dyDescent="0.3">
      <c r="A210" s="1">
        <v>209</v>
      </c>
      <c r="B210" s="1">
        <v>10114</v>
      </c>
      <c r="C210" s="1" t="s">
        <v>232</v>
      </c>
      <c r="D210" s="9" t="s">
        <v>565</v>
      </c>
      <c r="E210" s="1" t="s">
        <v>10</v>
      </c>
      <c r="F210" s="1" t="str">
        <f>_xlfn.XLOOKUP(C210,'[1]January 2025'!$C:$C,'[1]January 2025'!$I:$I,"")</f>
        <v>Domestic</v>
      </c>
      <c r="G210" s="1">
        <v>13500</v>
      </c>
      <c r="H210" s="1">
        <v>13500</v>
      </c>
      <c r="I210" s="1">
        <v>0</v>
      </c>
      <c r="J210" s="1">
        <v>0</v>
      </c>
      <c r="K210" s="1" t="str">
        <f>_xlfn.XLOOKUP(C210,'February 2025'!C:C,'February 2025'!K:K)</f>
        <v>L-8</v>
      </c>
    </row>
    <row r="211" spans="1:11" x14ac:dyDescent="0.3">
      <c r="A211" s="1">
        <v>210</v>
      </c>
      <c r="B211" s="1">
        <v>59</v>
      </c>
      <c r="C211" s="1" t="s">
        <v>233</v>
      </c>
      <c r="D211" s="9" t="s">
        <v>564</v>
      </c>
      <c r="E211" s="1" t="s">
        <v>42</v>
      </c>
      <c r="F211" s="1" t="str">
        <f>_xlfn.XLOOKUP(C211,'[1]January 2025'!$C:$C,'[1]January 2025'!$I:$I,"")</f>
        <v>Manufacturing</v>
      </c>
      <c r="G211" s="1">
        <v>50000</v>
      </c>
      <c r="H211" s="1">
        <v>50000</v>
      </c>
      <c r="I211" s="1">
        <v>0</v>
      </c>
      <c r="J211" s="1">
        <v>0</v>
      </c>
      <c r="K211" s="1" t="str">
        <f>_xlfn.XLOOKUP(C211,'February 2025'!C:C,'February 2025'!K:K)</f>
        <v>L-5</v>
      </c>
    </row>
    <row r="212" spans="1:11" x14ac:dyDescent="0.3">
      <c r="A212" s="1">
        <v>211</v>
      </c>
      <c r="B212" s="1">
        <v>60</v>
      </c>
      <c r="C212" s="1" t="s">
        <v>234</v>
      </c>
      <c r="D212" s="9" t="s">
        <v>564</v>
      </c>
      <c r="E212" s="1" t="s">
        <v>235</v>
      </c>
      <c r="F212" s="1" t="str">
        <f>_xlfn.XLOOKUP(B212,'February 2025'!B:B,'February 2025'!F:F)</f>
        <v>Manufacturing</v>
      </c>
      <c r="G212" s="1">
        <v>25000</v>
      </c>
      <c r="H212" s="1">
        <v>25000</v>
      </c>
      <c r="I212" s="1">
        <v>0</v>
      </c>
      <c r="J212" s="1">
        <v>0</v>
      </c>
      <c r="K212" s="1" t="s">
        <v>556</v>
      </c>
    </row>
    <row r="213" spans="1:11" x14ac:dyDescent="0.3">
      <c r="A213" s="1">
        <v>212</v>
      </c>
      <c r="B213" s="1">
        <v>10115</v>
      </c>
      <c r="C213" s="1" t="s">
        <v>236</v>
      </c>
      <c r="D213" s="9" t="s">
        <v>565</v>
      </c>
      <c r="E213" s="1" t="s">
        <v>35</v>
      </c>
      <c r="F213" s="1" t="str">
        <f>_xlfn.XLOOKUP(B213,'February 2025'!B:B,'February 2025'!F:F)</f>
        <v>Manufacturing</v>
      </c>
      <c r="G213" s="1">
        <v>12500</v>
      </c>
      <c r="H213" s="1">
        <v>12500</v>
      </c>
      <c r="I213" s="1">
        <v>0</v>
      </c>
      <c r="J213" s="1">
        <v>0</v>
      </c>
      <c r="K213" s="1" t="str">
        <f>_xlfn.XLOOKUP(C213,'February 2025'!C:C,'February 2025'!K:K)</f>
        <v>L-9</v>
      </c>
    </row>
    <row r="214" spans="1:11" x14ac:dyDescent="0.3">
      <c r="A214" s="1">
        <v>213</v>
      </c>
      <c r="B214" s="1">
        <v>10116</v>
      </c>
      <c r="C214" s="1" t="s">
        <v>237</v>
      </c>
      <c r="D214" s="9" t="s">
        <v>565</v>
      </c>
      <c r="E214" s="1" t="s">
        <v>53</v>
      </c>
      <c r="F214" s="1" t="str">
        <f>_xlfn.XLOOKUP(C214,'[1]January 2025'!$C:$C,'[1]January 2025'!$I:$I,"")</f>
        <v>Domestic</v>
      </c>
      <c r="G214" s="1">
        <v>11500</v>
      </c>
      <c r="H214" s="1">
        <v>11500</v>
      </c>
      <c r="I214" s="1">
        <v>0</v>
      </c>
      <c r="J214" s="1">
        <v>0</v>
      </c>
      <c r="K214" s="1" t="s">
        <v>557</v>
      </c>
    </row>
    <row r="215" spans="1:11" x14ac:dyDescent="0.3">
      <c r="A215" s="1">
        <v>214</v>
      </c>
      <c r="B215" s="1">
        <v>10117</v>
      </c>
      <c r="C215" s="1" t="s">
        <v>238</v>
      </c>
      <c r="D215" s="9" t="s">
        <v>565</v>
      </c>
      <c r="E215" s="1" t="s">
        <v>35</v>
      </c>
      <c r="F215" s="1" t="str">
        <f>_xlfn.XLOOKUP(B215,'February 2025'!B:B,'February 2025'!F:F)</f>
        <v>Manufacturing</v>
      </c>
      <c r="G215" s="1">
        <v>11500</v>
      </c>
      <c r="H215" s="1">
        <v>11500</v>
      </c>
      <c r="I215" s="1">
        <v>0</v>
      </c>
      <c r="J215" s="1">
        <v>0</v>
      </c>
      <c r="K215" s="1" t="str">
        <f>_xlfn.XLOOKUP(C215,'February 2025'!C:C,'February 2025'!K:K)</f>
        <v>L-9</v>
      </c>
    </row>
    <row r="216" spans="1:11" x14ac:dyDescent="0.3">
      <c r="A216" s="1">
        <v>215</v>
      </c>
      <c r="B216" s="1">
        <v>10118</v>
      </c>
      <c r="C216" s="1" t="s">
        <v>80</v>
      </c>
      <c r="D216" s="9" t="s">
        <v>565</v>
      </c>
      <c r="E216" s="1" t="s">
        <v>53</v>
      </c>
      <c r="F216" s="1" t="str">
        <f>_xlfn.XLOOKUP(C216,'[1]January 2025'!$C:$C,'[1]January 2025'!$I:$I,"")</f>
        <v>Domestic</v>
      </c>
      <c r="G216" s="1">
        <v>11000</v>
      </c>
      <c r="H216" s="1">
        <v>11000</v>
      </c>
      <c r="I216" s="1">
        <v>0</v>
      </c>
      <c r="J216" s="1">
        <v>0</v>
      </c>
      <c r="K216" s="1" t="str">
        <f>_xlfn.XLOOKUP(C216,'February 2025'!C:C,'February 2025'!K:K)</f>
        <v>L-10</v>
      </c>
    </row>
    <row r="217" spans="1:11" x14ac:dyDescent="0.3">
      <c r="A217" s="1">
        <v>216</v>
      </c>
      <c r="B217" s="1">
        <v>10119</v>
      </c>
      <c r="C217" s="1" t="s">
        <v>239</v>
      </c>
      <c r="D217" s="9" t="s">
        <v>565</v>
      </c>
      <c r="E217" s="1" t="s">
        <v>53</v>
      </c>
      <c r="F217" s="1" t="str">
        <f ca="1">_xlfn.XLOOKUP(B217,'February 2025'!B:B,'February 2025'!F:F)</f>
        <v>Manufacturing</v>
      </c>
      <c r="G217" s="1">
        <v>11000</v>
      </c>
      <c r="H217" s="1">
        <v>11000</v>
      </c>
      <c r="I217" s="1">
        <v>0</v>
      </c>
      <c r="J217" s="1">
        <v>0</v>
      </c>
      <c r="K217" s="1" t="s">
        <v>557</v>
      </c>
    </row>
    <row r="218" spans="1:11" x14ac:dyDescent="0.3">
      <c r="A218" s="1">
        <v>217</v>
      </c>
      <c r="B218" s="1">
        <v>10120</v>
      </c>
      <c r="C218" s="1" t="s">
        <v>240</v>
      </c>
      <c r="D218" s="9" t="s">
        <v>565</v>
      </c>
      <c r="E218" s="1" t="s">
        <v>61</v>
      </c>
      <c r="F218" s="1" t="str">
        <f ca="1">_xlfn.XLOOKUP(B218,'February 2025'!B:B,'February 2025'!F:F)</f>
        <v>Manufacturing</v>
      </c>
      <c r="G218" s="1">
        <v>13000</v>
      </c>
      <c r="H218" s="1">
        <v>13000</v>
      </c>
      <c r="I218" s="1">
        <v>0</v>
      </c>
      <c r="J218" s="1">
        <v>0</v>
      </c>
      <c r="K218" s="1" t="s">
        <v>556</v>
      </c>
    </row>
    <row r="219" spans="1:11" x14ac:dyDescent="0.3">
      <c r="A219" s="1">
        <v>218</v>
      </c>
      <c r="B219" s="1">
        <v>10121</v>
      </c>
      <c r="C219" s="1" t="s">
        <v>241</v>
      </c>
      <c r="D219" s="9" t="s">
        <v>565</v>
      </c>
      <c r="E219" s="1" t="s">
        <v>53</v>
      </c>
      <c r="F219" s="1" t="str">
        <f>_xlfn.XLOOKUP(B219,'February 2025'!B:B,'February 2025'!F:F)</f>
        <v>Manufacturing</v>
      </c>
      <c r="G219" s="1">
        <v>11500</v>
      </c>
      <c r="H219" s="1">
        <v>11500</v>
      </c>
      <c r="I219" s="1">
        <v>0</v>
      </c>
      <c r="J219" s="1">
        <v>0</v>
      </c>
      <c r="K219" s="1" t="str">
        <f>_xlfn.XLOOKUP(C219,'February 2025'!C:C,'February 2025'!K:K)</f>
        <v>L-10</v>
      </c>
    </row>
    <row r="220" spans="1:11" x14ac:dyDescent="0.3">
      <c r="A220" s="1">
        <v>219</v>
      </c>
      <c r="B220" s="1">
        <v>10122</v>
      </c>
      <c r="C220" s="1" t="s">
        <v>242</v>
      </c>
      <c r="D220" s="9" t="s">
        <v>565</v>
      </c>
      <c r="E220" s="1" t="s">
        <v>61</v>
      </c>
      <c r="F220" s="1" t="str">
        <f ca="1">_xlfn.XLOOKUP(B220,'February 2025'!B:B,'February 2025'!F:F)</f>
        <v>Manufacturing</v>
      </c>
      <c r="G220" s="1">
        <v>13000</v>
      </c>
      <c r="H220" s="1">
        <v>13000</v>
      </c>
      <c r="I220" s="1">
        <v>0</v>
      </c>
      <c r="J220" s="1">
        <v>0</v>
      </c>
      <c r="K220" s="1" t="s">
        <v>556</v>
      </c>
    </row>
    <row r="221" spans="1:11" x14ac:dyDescent="0.3">
      <c r="A221" s="1">
        <v>220</v>
      </c>
      <c r="B221" s="1">
        <v>10123</v>
      </c>
      <c r="C221" s="1" t="s">
        <v>243</v>
      </c>
      <c r="D221" s="9" t="s">
        <v>565</v>
      </c>
      <c r="E221" s="1" t="s">
        <v>53</v>
      </c>
      <c r="F221" s="1" t="str">
        <f>_xlfn.XLOOKUP(B221,'February 2025'!B:B,'February 2025'!F:F)</f>
        <v>Manufacturing</v>
      </c>
      <c r="G221" s="1">
        <v>12000</v>
      </c>
      <c r="H221" s="1">
        <v>12000</v>
      </c>
      <c r="I221" s="1">
        <v>0</v>
      </c>
      <c r="J221" s="1">
        <v>0</v>
      </c>
      <c r="K221" s="1" t="str">
        <f>_xlfn.XLOOKUP(C221,'February 2025'!C:C,'February 2025'!K:K)</f>
        <v>L-9</v>
      </c>
    </row>
    <row r="222" spans="1:11" x14ac:dyDescent="0.3">
      <c r="A222" s="1">
        <v>221</v>
      </c>
      <c r="B222" s="1">
        <v>10124</v>
      </c>
      <c r="C222" s="1" t="s">
        <v>244</v>
      </c>
      <c r="D222" s="9" t="s">
        <v>565</v>
      </c>
      <c r="E222" s="1" t="s">
        <v>35</v>
      </c>
      <c r="F222" s="1" t="str">
        <f>_xlfn.XLOOKUP(C222,'[1]January 2025'!$C:$C,'[1]January 2025'!$I:$I,"")</f>
        <v>Manufacturing</v>
      </c>
      <c r="G222" s="1">
        <v>14000</v>
      </c>
      <c r="H222" s="1">
        <v>14000</v>
      </c>
      <c r="I222" s="1">
        <v>0</v>
      </c>
      <c r="J222" s="1">
        <v>0</v>
      </c>
      <c r="K222" s="1" t="str">
        <f>_xlfn.XLOOKUP(C222,'February 2025'!C:C,'February 2025'!K:K)</f>
        <v>L-9</v>
      </c>
    </row>
    <row r="223" spans="1:11" x14ac:dyDescent="0.3">
      <c r="A223" s="1">
        <v>222</v>
      </c>
      <c r="B223" s="1">
        <v>10125</v>
      </c>
      <c r="C223" s="1" t="s">
        <v>245</v>
      </c>
      <c r="D223" s="9" t="s">
        <v>565</v>
      </c>
      <c r="E223" s="1" t="s">
        <v>35</v>
      </c>
      <c r="F223" s="1" t="str">
        <f>_xlfn.XLOOKUP(B223,'February 2025'!B:B,'February 2025'!F:F)</f>
        <v>Manufacturing</v>
      </c>
      <c r="G223" s="1">
        <v>14000</v>
      </c>
      <c r="H223" s="1">
        <v>14000</v>
      </c>
      <c r="I223" s="1">
        <v>0</v>
      </c>
      <c r="J223" s="1">
        <v>0</v>
      </c>
      <c r="K223" s="1" t="str">
        <f>_xlfn.XLOOKUP(C223,'February 2025'!C:C,'February 2025'!K:K)</f>
        <v>L-10</v>
      </c>
    </row>
    <row r="224" spans="1:11" x14ac:dyDescent="0.3">
      <c r="A224" s="1">
        <v>223</v>
      </c>
      <c r="B224" s="1">
        <v>10126</v>
      </c>
      <c r="C224" s="1" t="s">
        <v>246</v>
      </c>
      <c r="D224" s="9" t="s">
        <v>565</v>
      </c>
      <c r="E224" s="1" t="s">
        <v>35</v>
      </c>
      <c r="F224" s="1" t="str">
        <f ca="1">_xlfn.XLOOKUP(B224,'February 2025'!B:B,'February 2025'!F:F)</f>
        <v>D2C</v>
      </c>
      <c r="G224" s="1">
        <v>14000</v>
      </c>
      <c r="H224" s="1">
        <v>14000</v>
      </c>
      <c r="I224" s="1">
        <v>0</v>
      </c>
      <c r="J224" s="1">
        <v>0</v>
      </c>
      <c r="K224" s="1" t="s">
        <v>556</v>
      </c>
    </row>
    <row r="225" spans="1:11" x14ac:dyDescent="0.3">
      <c r="A225" s="1">
        <v>224</v>
      </c>
      <c r="B225" s="1">
        <v>10127</v>
      </c>
      <c r="C225" s="1" t="s">
        <v>247</v>
      </c>
      <c r="D225" s="9" t="s">
        <v>565</v>
      </c>
      <c r="E225" s="1" t="s">
        <v>35</v>
      </c>
      <c r="F225" s="1" t="str">
        <f>_xlfn.XLOOKUP(B225,'February 2025'!B:B,'February 2025'!F:F)</f>
        <v>Manufacturing</v>
      </c>
      <c r="G225" s="1">
        <v>14000</v>
      </c>
      <c r="H225" s="1">
        <v>14000</v>
      </c>
      <c r="I225" s="1">
        <v>0</v>
      </c>
      <c r="J225" s="1">
        <v>0</v>
      </c>
      <c r="K225" s="1" t="str">
        <f>_xlfn.XLOOKUP(C225,'February 2025'!C:C,'February 2025'!K:K)</f>
        <v>L-9</v>
      </c>
    </row>
    <row r="226" spans="1:11" x14ac:dyDescent="0.3">
      <c r="A226" s="1">
        <v>225</v>
      </c>
      <c r="B226" s="1">
        <v>10128</v>
      </c>
      <c r="C226" s="1" t="s">
        <v>248</v>
      </c>
      <c r="D226" s="9" t="s">
        <v>565</v>
      </c>
      <c r="E226" s="1" t="s">
        <v>35</v>
      </c>
      <c r="F226" s="1" t="str">
        <f>_xlfn.XLOOKUP(B226,'February 2025'!B:B,'February 2025'!F:F)</f>
        <v>Manufacturing</v>
      </c>
      <c r="G226" s="1">
        <v>14000</v>
      </c>
      <c r="H226" s="1">
        <v>14000</v>
      </c>
      <c r="I226" s="1">
        <v>0</v>
      </c>
      <c r="J226" s="1">
        <v>0</v>
      </c>
      <c r="K226" s="1" t="str">
        <f>_xlfn.XLOOKUP(C226,'February 2025'!C:C,'February 2025'!K:K)</f>
        <v>L-9</v>
      </c>
    </row>
    <row r="227" spans="1:11" x14ac:dyDescent="0.3">
      <c r="A227" s="1">
        <v>226</v>
      </c>
      <c r="B227" s="1">
        <v>10129</v>
      </c>
      <c r="C227" s="1" t="s">
        <v>249</v>
      </c>
      <c r="D227" s="9" t="s">
        <v>565</v>
      </c>
      <c r="E227" s="1" t="s">
        <v>53</v>
      </c>
      <c r="F227" s="1" t="str">
        <f ca="1">_xlfn.XLOOKUP(B227,'February 2025'!B:B,'February 2025'!F:F)</f>
        <v>Manufacturing</v>
      </c>
      <c r="G227" s="1">
        <v>11000</v>
      </c>
      <c r="H227" s="1">
        <v>11000</v>
      </c>
      <c r="I227" s="1">
        <v>0</v>
      </c>
      <c r="J227" s="1">
        <v>0</v>
      </c>
      <c r="K227" s="1" t="s">
        <v>557</v>
      </c>
    </row>
    <row r="228" spans="1:11" x14ac:dyDescent="0.3">
      <c r="A228" s="1">
        <v>227</v>
      </c>
      <c r="B228" s="1">
        <v>10130</v>
      </c>
      <c r="C228" s="1" t="s">
        <v>250</v>
      </c>
      <c r="D228" s="9" t="s">
        <v>565</v>
      </c>
      <c r="E228" s="1" t="s">
        <v>35</v>
      </c>
      <c r="F228" s="1" t="str">
        <f>_xlfn.XLOOKUP(B228,'February 2025'!B:B,'February 2025'!F:F)</f>
        <v>Manufacturing</v>
      </c>
      <c r="G228" s="1">
        <v>13000</v>
      </c>
      <c r="H228" s="1">
        <v>13000</v>
      </c>
      <c r="I228" s="1">
        <v>0</v>
      </c>
      <c r="J228" s="1">
        <v>0</v>
      </c>
      <c r="K228" s="1" t="str">
        <f>_xlfn.XLOOKUP(C228,'February 2025'!C:C,'February 2025'!K:K)</f>
        <v>L-9</v>
      </c>
    </row>
    <row r="229" spans="1:11" x14ac:dyDescent="0.3">
      <c r="A229" s="1">
        <v>228</v>
      </c>
      <c r="B229" s="1">
        <v>61</v>
      </c>
      <c r="C229" s="1" t="s">
        <v>251</v>
      </c>
      <c r="D229" s="9" t="s">
        <v>564</v>
      </c>
      <c r="E229" s="1" t="s">
        <v>252</v>
      </c>
      <c r="F229" s="1" t="str">
        <f>_xlfn.XLOOKUP(B229,'February 2025'!B:B,'February 2025'!F:F)</f>
        <v>D2C</v>
      </c>
      <c r="G229" s="1">
        <v>28050</v>
      </c>
      <c r="H229" s="1">
        <v>26250</v>
      </c>
      <c r="I229" s="1">
        <v>1950</v>
      </c>
      <c r="J229" s="1">
        <v>0</v>
      </c>
      <c r="K229" s="1" t="s">
        <v>553</v>
      </c>
    </row>
    <row r="230" spans="1:11" x14ac:dyDescent="0.3">
      <c r="A230" s="1">
        <v>229</v>
      </c>
      <c r="B230" s="1">
        <v>10131</v>
      </c>
      <c r="C230" s="1" t="s">
        <v>253</v>
      </c>
      <c r="D230" s="9" t="s">
        <v>565</v>
      </c>
      <c r="E230" s="1" t="s">
        <v>53</v>
      </c>
      <c r="F230" s="1" t="str">
        <f>_xlfn.XLOOKUP(B230,'February 2025'!B:B,'February 2025'!F:F)</f>
        <v>Domestic</v>
      </c>
      <c r="G230" s="1">
        <v>11000</v>
      </c>
      <c r="H230" s="1">
        <v>11000</v>
      </c>
      <c r="I230" s="1">
        <v>0</v>
      </c>
      <c r="J230" s="1">
        <v>0</v>
      </c>
      <c r="K230" s="1" t="str">
        <f>_xlfn.XLOOKUP(C230,'February 2025'!C:C,'February 2025'!K:K)</f>
        <v>L-10</v>
      </c>
    </row>
    <row r="231" spans="1:11" x14ac:dyDescent="0.3">
      <c r="A231" s="1">
        <v>230</v>
      </c>
      <c r="B231" s="1">
        <v>10132</v>
      </c>
      <c r="C231" s="1" t="s">
        <v>254</v>
      </c>
      <c r="D231" s="9" t="s">
        <v>565</v>
      </c>
      <c r="E231" s="1" t="s">
        <v>35</v>
      </c>
      <c r="F231" s="1" t="str">
        <f>_xlfn.XLOOKUP(B231,'February 2025'!B:B,'February 2025'!F:F)</f>
        <v>Manufacturing</v>
      </c>
      <c r="G231" s="1">
        <v>13000</v>
      </c>
      <c r="H231" s="1">
        <v>13000</v>
      </c>
      <c r="I231" s="1">
        <v>0</v>
      </c>
      <c r="J231" s="1">
        <v>0</v>
      </c>
      <c r="K231" s="1" t="str">
        <f>_xlfn.XLOOKUP(C231,'February 2025'!C:C,'February 2025'!K:K)</f>
        <v>L-9</v>
      </c>
    </row>
    <row r="232" spans="1:11" x14ac:dyDescent="0.3">
      <c r="A232" s="1">
        <v>231</v>
      </c>
      <c r="B232" s="1">
        <v>10134</v>
      </c>
      <c r="C232" s="1" t="s">
        <v>255</v>
      </c>
      <c r="D232" s="9" t="s">
        <v>565</v>
      </c>
      <c r="E232" s="1" t="s">
        <v>35</v>
      </c>
      <c r="F232" s="1" t="str">
        <f ca="1">_xlfn.XLOOKUP(B232,'February 2025'!B:B,'February 2025'!F:F)</f>
        <v>Manufacturing</v>
      </c>
      <c r="G232" s="1">
        <v>14000</v>
      </c>
      <c r="H232" s="1">
        <v>14000</v>
      </c>
      <c r="I232" s="1">
        <v>0</v>
      </c>
      <c r="J232" s="1">
        <v>0</v>
      </c>
      <c r="K232" s="1" t="s">
        <v>556</v>
      </c>
    </row>
    <row r="233" spans="1:11" x14ac:dyDescent="0.3">
      <c r="A233" s="1">
        <v>232</v>
      </c>
      <c r="B233" s="1">
        <v>10135</v>
      </c>
      <c r="C233" s="1" t="s">
        <v>256</v>
      </c>
      <c r="D233" s="9" t="s">
        <v>565</v>
      </c>
      <c r="E233" s="1" t="s">
        <v>53</v>
      </c>
      <c r="F233" s="1" t="str">
        <f>_xlfn.XLOOKUP(C233,'[1]January 2025'!$C:$C,'[1]January 2025'!$I:$I,"")</f>
        <v>Overseas</v>
      </c>
      <c r="G233" s="1">
        <v>15000</v>
      </c>
      <c r="H233" s="1">
        <v>15000</v>
      </c>
      <c r="I233" s="1">
        <v>0</v>
      </c>
      <c r="J233" s="1">
        <v>0</v>
      </c>
      <c r="K233" s="1" t="str">
        <f>_xlfn.XLOOKUP(C233,'February 2025'!C:C,'February 2025'!K:K)</f>
        <v>L-10</v>
      </c>
    </row>
    <row r="234" spans="1:11" x14ac:dyDescent="0.3">
      <c r="A234" s="1">
        <v>233</v>
      </c>
      <c r="B234" s="1">
        <v>10136</v>
      </c>
      <c r="C234" s="1" t="s">
        <v>257</v>
      </c>
      <c r="D234" s="9" t="s">
        <v>565</v>
      </c>
      <c r="E234" s="1" t="s">
        <v>53</v>
      </c>
      <c r="F234" s="1" t="str">
        <f ca="1">_xlfn.XLOOKUP(B234,'February 2025'!B:B,'February 2025'!F:F)</f>
        <v>Manufacturing</v>
      </c>
      <c r="G234" s="1">
        <v>11000</v>
      </c>
      <c r="H234" s="1">
        <v>11000</v>
      </c>
      <c r="I234" s="1">
        <v>0</v>
      </c>
      <c r="J234" s="1">
        <v>0</v>
      </c>
      <c r="K234" s="1" t="s">
        <v>557</v>
      </c>
    </row>
    <row r="235" spans="1:11" x14ac:dyDescent="0.3">
      <c r="A235" s="1">
        <v>234</v>
      </c>
      <c r="B235" s="1">
        <v>10137</v>
      </c>
      <c r="C235" s="1" t="s">
        <v>258</v>
      </c>
      <c r="D235" s="9" t="s">
        <v>565</v>
      </c>
      <c r="E235" s="1" t="s">
        <v>53</v>
      </c>
      <c r="F235" s="1" t="str">
        <f>_xlfn.XLOOKUP(B235,'February 2025'!B:B,'February 2025'!F:F)</f>
        <v>Overseas</v>
      </c>
      <c r="G235" s="1">
        <v>11000</v>
      </c>
      <c r="H235" s="1">
        <v>11000</v>
      </c>
      <c r="I235" s="1">
        <v>0</v>
      </c>
      <c r="J235" s="1">
        <v>0</v>
      </c>
      <c r="K235" s="1" t="str">
        <f>_xlfn.XLOOKUP(C235,'February 2025'!C:C,'February 2025'!K:K)</f>
        <v>L-10</v>
      </c>
    </row>
    <row r="236" spans="1:11" x14ac:dyDescent="0.3">
      <c r="A236" s="1">
        <v>235</v>
      </c>
      <c r="B236" s="1">
        <v>10138</v>
      </c>
      <c r="C236" s="1" t="s">
        <v>259</v>
      </c>
      <c r="D236" s="9" t="s">
        <v>565</v>
      </c>
      <c r="E236" s="1" t="s">
        <v>53</v>
      </c>
      <c r="F236" s="1" t="str">
        <f ca="1">_xlfn.XLOOKUP(B236,'February 2025'!B:B,'February 2025'!F:F)</f>
        <v xml:space="preserve">Admin </v>
      </c>
      <c r="G236" s="1">
        <v>11000</v>
      </c>
      <c r="H236" s="1">
        <v>11000</v>
      </c>
      <c r="I236" s="1">
        <v>0</v>
      </c>
      <c r="J236" s="1">
        <v>0</v>
      </c>
      <c r="K236" s="1" t="s">
        <v>557</v>
      </c>
    </row>
    <row r="237" spans="1:11" x14ac:dyDescent="0.3">
      <c r="A237" s="1">
        <v>236</v>
      </c>
      <c r="B237" s="1">
        <v>10139</v>
      </c>
      <c r="C237" s="1" t="s">
        <v>260</v>
      </c>
      <c r="D237" s="9" t="s">
        <v>565</v>
      </c>
      <c r="E237" s="1" t="s">
        <v>53</v>
      </c>
      <c r="F237" s="1" t="str">
        <f>_xlfn.XLOOKUP(B237,'February 2025'!B:B,'February 2025'!F:F)</f>
        <v>Manufacturing</v>
      </c>
      <c r="G237" s="1">
        <v>15000</v>
      </c>
      <c r="H237" s="1">
        <v>15000</v>
      </c>
      <c r="I237" s="1">
        <v>0</v>
      </c>
      <c r="J237" s="1">
        <v>0</v>
      </c>
      <c r="K237" s="1" t="str">
        <f>_xlfn.XLOOKUP(C237,'February 2025'!C:C,'February 2025'!K:K)</f>
        <v>L-9</v>
      </c>
    </row>
    <row r="238" spans="1:11" x14ac:dyDescent="0.3">
      <c r="A238" s="1">
        <v>237</v>
      </c>
      <c r="B238" s="1">
        <v>10140</v>
      </c>
      <c r="C238" s="1" t="s">
        <v>261</v>
      </c>
      <c r="D238" s="9" t="s">
        <v>565</v>
      </c>
      <c r="E238" s="1" t="s">
        <v>35</v>
      </c>
      <c r="F238" s="1" t="str">
        <f>_xlfn.XLOOKUP(B238,'February 2025'!B:B,'February 2025'!F:F)</f>
        <v>Manufacturing</v>
      </c>
      <c r="G238" s="1">
        <v>12500</v>
      </c>
      <c r="H238" s="1">
        <v>15000</v>
      </c>
      <c r="I238" s="1">
        <v>0</v>
      </c>
      <c r="J238" s="1">
        <v>0</v>
      </c>
      <c r="K238" s="1" t="str">
        <f>_xlfn.XLOOKUP(C238,'February 2025'!C:C,'February 2025'!K:K)</f>
        <v>L-9</v>
      </c>
    </row>
    <row r="239" spans="1:11" x14ac:dyDescent="0.3">
      <c r="A239" s="1">
        <v>238</v>
      </c>
      <c r="B239" s="1">
        <v>10141</v>
      </c>
      <c r="C239" s="1" t="s">
        <v>262</v>
      </c>
      <c r="D239" s="9" t="s">
        <v>565</v>
      </c>
      <c r="E239" s="1" t="s">
        <v>53</v>
      </c>
      <c r="F239" s="1" t="str">
        <f ca="1">_xlfn.XLOOKUP(B239,'February 2025'!B:B,'February 2025'!F:F)</f>
        <v>Domestic</v>
      </c>
      <c r="G239" s="1">
        <v>11000</v>
      </c>
      <c r="H239" s="1">
        <v>15000</v>
      </c>
      <c r="I239" s="1">
        <v>0</v>
      </c>
      <c r="J239" s="1">
        <v>0</v>
      </c>
      <c r="K239" s="1" t="s">
        <v>557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66D80D-FA60-44F5-A1BF-40CFE0709176}">
          <x14:formula1>
            <xm:f>'Data Validation'!$K$1:$K$11</xm:f>
          </x14:formula1>
          <xm:sqref>K1:K1048576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94F4B-2EB0-4B31-9ECC-93633A735CBE}">
  <dimension ref="A1:K148"/>
  <sheetViews>
    <sheetView topLeftCell="C1" zoomScale="82" zoomScaleNormal="100" workbookViewId="0">
      <selection activeCell="L1" sqref="L1"/>
    </sheetView>
  </sheetViews>
  <sheetFormatPr defaultRowHeight="14.4" x14ac:dyDescent="0.3"/>
  <cols>
    <col min="2" max="2" width="20.6640625" customWidth="1"/>
    <col min="3" max="3" width="23.88671875" bestFit="1" customWidth="1"/>
    <col min="5" max="5" width="26.6640625" bestFit="1" customWidth="1"/>
    <col min="6" max="6" width="12.5546875" bestFit="1" customWidth="1"/>
    <col min="7" max="7" width="10.77734375" bestFit="1" customWidth="1"/>
    <col min="8" max="8" width="12.21875" bestFit="1" customWidth="1"/>
    <col min="9" max="9" width="10.77734375" bestFit="1" customWidth="1"/>
    <col min="10" max="10" width="11.21875" bestFit="1" customWidth="1"/>
    <col min="11" max="11" width="14.77734375" customWidth="1"/>
  </cols>
  <sheetData>
    <row r="1" spans="1:11" x14ac:dyDescent="0.3">
      <c r="A1" s="2" t="str" cm="1">
        <f t="array" ref="A1:K1">'January 2025'!A1:K1</f>
        <v>Sr. No.</v>
      </c>
      <c r="B1" s="2" t="str">
        <v>User ID</v>
      </c>
      <c r="C1" s="2" t="str">
        <v>Emp. Name</v>
      </c>
      <c r="D1" s="2" t="str">
        <v>Mode</v>
      </c>
      <c r="E1" s="4" t="str">
        <v>Designation</v>
      </c>
      <c r="F1" s="2" t="str">
        <v>Department</v>
      </c>
      <c r="G1" s="2" t="str">
        <v>Gross salary</v>
      </c>
      <c r="H1" s="2" t="str">
        <v>In Hand Salary</v>
      </c>
      <c r="I1" s="2" t="str">
        <v>PF Employer</v>
      </c>
      <c r="J1" s="2" t="str">
        <v>ESI Employer</v>
      </c>
      <c r="K1" s="2" t="str">
        <v>Level Wise</v>
      </c>
    </row>
    <row r="2" spans="1:11" x14ac:dyDescent="0.3">
      <c r="A2" s="1">
        <v>1</v>
      </c>
      <c r="B2" s="1">
        <v>1</v>
      </c>
      <c r="C2" s="1" t="s">
        <v>7</v>
      </c>
      <c r="D2" s="1" t="s">
        <v>564</v>
      </c>
      <c r="E2" s="1" t="s">
        <v>8</v>
      </c>
      <c r="F2" s="1" t="str">
        <f>_xlfn.XLOOKUP('February 2025'!B2,'March 2025'!B:B,'March 2025'!F:F)</f>
        <v>Manufacturing</v>
      </c>
      <c r="G2" s="1">
        <v>10300</v>
      </c>
      <c r="H2" s="1">
        <v>9142</v>
      </c>
      <c r="I2" s="1">
        <v>1170</v>
      </c>
      <c r="J2" s="1">
        <v>335</v>
      </c>
      <c r="K2" s="1" t="str">
        <f>_xlfn.XLOOKUP(C2,'March 2025'!C:C,'March 2025'!K:K)</f>
        <v>L-9</v>
      </c>
    </row>
    <row r="3" spans="1:11" x14ac:dyDescent="0.3">
      <c r="A3" s="1">
        <v>2</v>
      </c>
      <c r="B3" s="1">
        <v>2</v>
      </c>
      <c r="C3" s="1" t="s">
        <v>9</v>
      </c>
      <c r="D3" s="1" t="s">
        <v>564</v>
      </c>
      <c r="E3" s="1" t="s">
        <v>10</v>
      </c>
      <c r="F3" s="1" t="str">
        <f>_xlfn.XLOOKUP(C3,'[1]February 2025'!$C:$C,'[1]February 2025'!$I:$I)</f>
        <v>Domestic</v>
      </c>
      <c r="G3" s="1">
        <v>20500</v>
      </c>
      <c r="H3" s="1">
        <v>18870</v>
      </c>
      <c r="I3" s="1">
        <v>1599</v>
      </c>
      <c r="J3" s="1">
        <v>667</v>
      </c>
      <c r="K3" s="1" t="str">
        <f>_xlfn.XLOOKUP(C3,'March 2025'!C:C,'March 2025'!K:K)</f>
        <v>L-8</v>
      </c>
    </row>
    <row r="4" spans="1:11" x14ac:dyDescent="0.3">
      <c r="A4" s="1">
        <v>3</v>
      </c>
      <c r="B4" s="1">
        <v>3</v>
      </c>
      <c r="C4" s="1" t="s">
        <v>11</v>
      </c>
      <c r="D4" s="1" t="s">
        <v>564</v>
      </c>
      <c r="E4" s="1" t="s">
        <v>12</v>
      </c>
      <c r="F4" s="1" t="str">
        <f>_xlfn.XLOOKUP('February 2025'!B4,'March 2025'!B:B,'March 2025'!F:F)</f>
        <v>Manufacturing</v>
      </c>
      <c r="G4" s="1">
        <v>27500</v>
      </c>
      <c r="H4" s="1">
        <v>27500</v>
      </c>
      <c r="I4" s="1">
        <v>0</v>
      </c>
      <c r="J4" s="1">
        <v>0</v>
      </c>
      <c r="K4" s="1" t="str">
        <f>_xlfn.XLOOKUP(C4,'March 2025'!C:C,'March 2025'!K:K)</f>
        <v>L-9</v>
      </c>
    </row>
    <row r="5" spans="1:11" x14ac:dyDescent="0.3">
      <c r="A5" s="1">
        <v>4</v>
      </c>
      <c r="B5" s="1">
        <v>4</v>
      </c>
      <c r="C5" s="1" t="s">
        <v>13</v>
      </c>
      <c r="D5" s="1" t="s">
        <v>564</v>
      </c>
      <c r="E5" s="1" t="s">
        <v>10</v>
      </c>
      <c r="F5" s="1" t="str">
        <f>_xlfn.XLOOKUP(C5,'[1]February 2025'!$C:$C,'[1]February 2025'!$I:$I)</f>
        <v>Domestic</v>
      </c>
      <c r="G5" s="1">
        <v>20625</v>
      </c>
      <c r="H5" s="1">
        <v>18737.439999999999</v>
      </c>
      <c r="I5" s="1">
        <v>1877</v>
      </c>
      <c r="J5" s="1">
        <v>671</v>
      </c>
      <c r="K5" s="1" t="str">
        <f>_xlfn.XLOOKUP(C5,'March 2025'!C:C,'March 2025'!K:K)</f>
        <v>L-6</v>
      </c>
    </row>
    <row r="6" spans="1:11" x14ac:dyDescent="0.3">
      <c r="A6" s="1">
        <v>5</v>
      </c>
      <c r="B6" s="1">
        <v>5</v>
      </c>
      <c r="C6" s="1" t="s">
        <v>15</v>
      </c>
      <c r="D6" s="1" t="s">
        <v>565</v>
      </c>
      <c r="E6" s="1" t="s">
        <v>10</v>
      </c>
      <c r="F6" s="1" t="str">
        <f>_xlfn.XLOOKUP(C6,'[1]February 2025'!$C:$C,'[1]February 2025'!$I:$I)</f>
        <v>Domestic</v>
      </c>
      <c r="G6" s="1">
        <v>33200</v>
      </c>
      <c r="H6" s="1">
        <v>31400</v>
      </c>
      <c r="I6" s="1">
        <v>1950</v>
      </c>
      <c r="J6" s="1">
        <v>0</v>
      </c>
      <c r="K6" s="1" t="str">
        <f>_xlfn.XLOOKUP(C6,'March 2025'!C:C,'March 2025'!K:K)</f>
        <v>L-6</v>
      </c>
    </row>
    <row r="7" spans="1:11" x14ac:dyDescent="0.3">
      <c r="A7" s="1">
        <v>6</v>
      </c>
      <c r="B7" s="1">
        <v>6</v>
      </c>
      <c r="C7" s="1" t="s">
        <v>16</v>
      </c>
      <c r="D7" s="1" t="s">
        <v>564</v>
      </c>
      <c r="E7" s="1" t="s">
        <v>17</v>
      </c>
      <c r="F7" s="1" t="str">
        <f>_xlfn.XLOOKUP('February 2025'!B7,'March 2025'!B:B,'March 2025'!F:F)</f>
        <v xml:space="preserve">Admin </v>
      </c>
      <c r="G7" s="1">
        <v>62500</v>
      </c>
      <c r="H7" s="1">
        <v>62500</v>
      </c>
      <c r="I7" s="1">
        <v>0</v>
      </c>
      <c r="J7" s="1">
        <v>0</v>
      </c>
      <c r="K7" s="1" t="str">
        <f>_xlfn.XLOOKUP(C7,'March 2025'!C:C,'March 2025'!K:K)</f>
        <v>L-5</v>
      </c>
    </row>
    <row r="8" spans="1:11" x14ac:dyDescent="0.3">
      <c r="A8" s="1">
        <v>7</v>
      </c>
      <c r="B8" s="1">
        <v>7</v>
      </c>
      <c r="C8" s="1" t="s">
        <v>18</v>
      </c>
      <c r="D8" s="1" t="s">
        <v>564</v>
      </c>
      <c r="E8" s="1" t="s">
        <v>19</v>
      </c>
      <c r="F8" s="1" t="str">
        <f>_xlfn.XLOOKUP('February 2025'!B8,'March 2025'!B:B,'March 2025'!F:F)</f>
        <v xml:space="preserve">Admin </v>
      </c>
      <c r="G8" s="1">
        <v>48000</v>
      </c>
      <c r="H8" s="1">
        <v>48000</v>
      </c>
      <c r="I8" s="1">
        <v>0</v>
      </c>
      <c r="J8" s="1">
        <v>0</v>
      </c>
      <c r="K8" s="1" t="str">
        <f>_xlfn.XLOOKUP(C8,'March 2025'!C:C,'March 2025'!K:K)</f>
        <v>L-5</v>
      </c>
    </row>
    <row r="9" spans="1:11" x14ac:dyDescent="0.3">
      <c r="A9" s="1">
        <v>8</v>
      </c>
      <c r="B9" s="1">
        <v>9</v>
      </c>
      <c r="C9" s="1" t="s">
        <v>22</v>
      </c>
      <c r="D9" s="1" t="s">
        <v>564</v>
      </c>
      <c r="E9" s="1" t="s">
        <v>23</v>
      </c>
      <c r="F9" s="1" t="str">
        <f>_xlfn.XLOOKUP('February 2025'!B9,'March 2025'!B:B,'March 2025'!F:F)</f>
        <v>Domestic</v>
      </c>
      <c r="G9" s="1">
        <v>14800</v>
      </c>
      <c r="H9" s="1">
        <v>13613.8</v>
      </c>
      <c r="I9" s="1">
        <v>1165</v>
      </c>
      <c r="J9" s="1">
        <v>481</v>
      </c>
      <c r="K9" s="1" t="str">
        <f>_xlfn.XLOOKUP(C9,'March 2025'!C:C,'March 2025'!K:K)</f>
        <v>L-9</v>
      </c>
    </row>
    <row r="10" spans="1:11" x14ac:dyDescent="0.3">
      <c r="A10" s="1">
        <v>9</v>
      </c>
      <c r="B10" s="1">
        <v>11</v>
      </c>
      <c r="C10" s="1" t="s">
        <v>25</v>
      </c>
      <c r="D10" s="1" t="s">
        <v>564</v>
      </c>
      <c r="E10" s="1" t="s">
        <v>26</v>
      </c>
      <c r="F10" s="1" t="str">
        <f>_xlfn.XLOOKUP('February 2025'!B10,'March 2025'!B:B,'March 2025'!F:F)</f>
        <v xml:space="preserve">Admin </v>
      </c>
      <c r="G10" s="1">
        <v>22000</v>
      </c>
      <c r="H10" s="1">
        <v>20200</v>
      </c>
      <c r="I10" s="1">
        <v>1950</v>
      </c>
      <c r="J10" s="1">
        <v>0</v>
      </c>
      <c r="K10" s="1" t="str">
        <f>_xlfn.XLOOKUP(C10,'March 2025'!C:C,'March 2025'!K:K)</f>
        <v>L-6</v>
      </c>
    </row>
    <row r="11" spans="1:11" x14ac:dyDescent="0.3">
      <c r="A11" s="1">
        <v>10</v>
      </c>
      <c r="B11" s="1">
        <v>13</v>
      </c>
      <c r="C11" s="1" t="s">
        <v>29</v>
      </c>
      <c r="D11" s="1" t="s">
        <v>564</v>
      </c>
      <c r="E11" s="1" t="s">
        <v>10</v>
      </c>
      <c r="F11" s="1" t="str">
        <f>_xlfn.XLOOKUP('February 2025'!B11,'March 2025'!B:B,'March 2025'!F:F)</f>
        <v>Domestic</v>
      </c>
      <c r="G11" s="1">
        <v>14500</v>
      </c>
      <c r="H11" s="1">
        <v>13341</v>
      </c>
      <c r="I11" s="1">
        <v>1138</v>
      </c>
      <c r="J11" s="1">
        <v>472</v>
      </c>
      <c r="K11" s="1" t="str">
        <f>_xlfn.XLOOKUP(C11,'March 2025'!C:C,'March 2025'!K:K)</f>
        <v>L-7</v>
      </c>
    </row>
    <row r="12" spans="1:11" x14ac:dyDescent="0.3">
      <c r="A12" s="1">
        <v>11</v>
      </c>
      <c r="B12" s="1">
        <v>14</v>
      </c>
      <c r="C12" s="1" t="s">
        <v>30</v>
      </c>
      <c r="D12" s="1" t="s">
        <v>564</v>
      </c>
      <c r="E12" s="1" t="s">
        <v>31</v>
      </c>
      <c r="F12" s="1" t="str">
        <f>_xlfn.XLOOKUP('February 2025'!B12,'March 2025'!B:B,'March 2025'!F:F)</f>
        <v>Office Support</v>
      </c>
      <c r="G12" s="1">
        <v>15400</v>
      </c>
      <c r="H12" s="1">
        <v>14175.2</v>
      </c>
      <c r="I12" s="1">
        <v>1201</v>
      </c>
      <c r="J12" s="1">
        <v>501</v>
      </c>
      <c r="K12" s="1" t="str">
        <f>_xlfn.XLOOKUP(C12,'March 2025'!C:C,'March 2025'!K:K)</f>
        <v>L-10</v>
      </c>
    </row>
    <row r="13" spans="1:11" x14ac:dyDescent="0.3">
      <c r="A13" s="1">
        <v>12</v>
      </c>
      <c r="B13" s="1">
        <v>15</v>
      </c>
      <c r="C13" s="1" t="s">
        <v>32</v>
      </c>
      <c r="D13" s="1" t="s">
        <v>564</v>
      </c>
      <c r="E13" s="1" t="s">
        <v>33</v>
      </c>
      <c r="F13" s="1" t="str">
        <f>_xlfn.XLOOKUP('February 2025'!B13,'March 2025'!B:B,'March 2025'!F:F)</f>
        <v>Manufacturing</v>
      </c>
      <c r="G13" s="1">
        <v>20000</v>
      </c>
      <c r="H13" s="1">
        <v>18410</v>
      </c>
      <c r="I13" s="1">
        <v>1560</v>
      </c>
      <c r="J13" s="1">
        <v>650</v>
      </c>
      <c r="K13" s="1" t="str">
        <f>_xlfn.XLOOKUP(C13,'March 2025'!C:C,'March 2025'!K:K)</f>
        <v>L-9</v>
      </c>
    </row>
    <row r="14" spans="1:11" x14ac:dyDescent="0.3">
      <c r="A14" s="1">
        <v>13</v>
      </c>
      <c r="B14" s="1">
        <v>16</v>
      </c>
      <c r="C14" s="1" t="s">
        <v>34</v>
      </c>
      <c r="D14" s="1" t="s">
        <v>564</v>
      </c>
      <c r="E14" s="1" t="s">
        <v>35</v>
      </c>
      <c r="F14" s="1" t="str">
        <f>_xlfn.XLOOKUP('February 2025'!B14,'March 2025'!B:B,'March 2025'!F:F)</f>
        <v>Domestic</v>
      </c>
      <c r="G14" s="1">
        <v>14063</v>
      </c>
      <c r="H14" s="1">
        <v>12775.708000000001</v>
      </c>
      <c r="I14" s="1">
        <v>1280</v>
      </c>
      <c r="J14" s="1">
        <v>458</v>
      </c>
      <c r="K14" s="1" t="str">
        <f>_xlfn.XLOOKUP(C14,'March 2025'!C:C,'March 2025'!K:K)</f>
        <v>L-9</v>
      </c>
    </row>
    <row r="15" spans="1:11" x14ac:dyDescent="0.3">
      <c r="A15" s="1">
        <v>14</v>
      </c>
      <c r="B15" s="1">
        <v>17</v>
      </c>
      <c r="C15" s="1" t="s">
        <v>36</v>
      </c>
      <c r="D15" s="1" t="s">
        <v>564</v>
      </c>
      <c r="E15" s="1" t="s">
        <v>21</v>
      </c>
      <c r="F15" s="1" t="str">
        <f>_xlfn.XLOOKUP('February 2025'!B15,'March 2025'!B:B,'March 2025'!F:F)</f>
        <v>Manufacturing</v>
      </c>
      <c r="G15" s="1">
        <v>17500</v>
      </c>
      <c r="H15" s="1">
        <v>16108</v>
      </c>
      <c r="I15" s="1">
        <v>1365</v>
      </c>
      <c r="J15" s="1">
        <v>569</v>
      </c>
      <c r="K15" s="1" t="str">
        <f>_xlfn.XLOOKUP(C15,'March 2025'!C:C,'March 2025'!K:K)</f>
        <v>L-9</v>
      </c>
    </row>
    <row r="16" spans="1:11" x14ac:dyDescent="0.3">
      <c r="A16" s="1">
        <v>15</v>
      </c>
      <c r="B16" s="1">
        <v>19</v>
      </c>
      <c r="C16" s="1" t="s">
        <v>38</v>
      </c>
      <c r="D16" s="1" t="s">
        <v>564</v>
      </c>
      <c r="E16" s="1" t="s">
        <v>35</v>
      </c>
      <c r="F16" s="1" t="str">
        <f>_xlfn.XLOOKUP('February 2025'!B16,'March 2025'!B:B,'March 2025'!F:F)</f>
        <v>Manufacturing</v>
      </c>
      <c r="G16" s="1">
        <v>14000</v>
      </c>
      <c r="H16" s="1">
        <v>12887</v>
      </c>
      <c r="I16" s="1">
        <v>1092</v>
      </c>
      <c r="J16" s="1">
        <v>455</v>
      </c>
      <c r="K16" s="1" t="str">
        <f>_xlfn.XLOOKUP(C16,'March 2025'!C:C,'March 2025'!K:K)</f>
        <v>L-9</v>
      </c>
    </row>
    <row r="17" spans="1:11" x14ac:dyDescent="0.3">
      <c r="A17" s="1">
        <v>16</v>
      </c>
      <c r="B17" s="1">
        <v>20</v>
      </c>
      <c r="C17" s="1" t="s">
        <v>39</v>
      </c>
      <c r="D17" s="1" t="s">
        <v>564</v>
      </c>
      <c r="E17" s="1" t="s">
        <v>35</v>
      </c>
      <c r="F17" s="1" t="str">
        <f>_xlfn.XLOOKUP(C17,'[1]February 2025'!$C:$C,'[1]February 2025'!$I:$I)</f>
        <v>Manufacturing</v>
      </c>
      <c r="G17" s="1">
        <v>14500</v>
      </c>
      <c r="H17" s="1">
        <v>13173</v>
      </c>
      <c r="I17" s="1">
        <v>1320</v>
      </c>
      <c r="J17" s="1">
        <v>472</v>
      </c>
      <c r="K17" s="1" t="str">
        <f>_xlfn.XLOOKUP(C17,'March 2025'!C:C,'March 2025'!K:K)</f>
        <v>L-9</v>
      </c>
    </row>
    <row r="18" spans="1:11" x14ac:dyDescent="0.3">
      <c r="A18" s="1">
        <v>17</v>
      </c>
      <c r="B18" s="1">
        <v>21</v>
      </c>
      <c r="C18" s="1" t="s">
        <v>40</v>
      </c>
      <c r="D18" s="1" t="s">
        <v>564</v>
      </c>
      <c r="E18" s="1" t="s">
        <v>41</v>
      </c>
      <c r="F18" s="1" t="str">
        <f>_xlfn.XLOOKUP('February 2025'!B18,'March 2025'!B:B,'March 2025'!F:F)</f>
        <v>Manufacturing</v>
      </c>
      <c r="G18" s="1">
        <v>22000</v>
      </c>
      <c r="H18" s="1">
        <v>20416</v>
      </c>
      <c r="I18" s="1">
        <v>1716</v>
      </c>
      <c r="J18" s="1">
        <v>0</v>
      </c>
      <c r="K18" s="1" t="str">
        <f>_xlfn.XLOOKUP(C18,'March 2025'!C:C,'March 2025'!K:K)</f>
        <v>L-8</v>
      </c>
    </row>
    <row r="19" spans="1:11" x14ac:dyDescent="0.3">
      <c r="A19" s="1">
        <v>18</v>
      </c>
      <c r="B19" s="1">
        <v>22</v>
      </c>
      <c r="C19" s="1" t="s">
        <v>14</v>
      </c>
      <c r="D19" s="1" t="s">
        <v>564</v>
      </c>
      <c r="E19" s="1" t="s">
        <v>42</v>
      </c>
      <c r="F19" s="1" t="str">
        <f>_xlfn.XLOOKUP('February 2025'!B19,'March 2025'!B:B,'March 2025'!F:F)</f>
        <v>Domestic</v>
      </c>
      <c r="G19" s="1">
        <v>68200</v>
      </c>
      <c r="H19" s="1">
        <v>66400</v>
      </c>
      <c r="I19" s="1">
        <v>1950</v>
      </c>
      <c r="J19" s="1">
        <v>0</v>
      </c>
      <c r="K19" s="1" t="s">
        <v>552</v>
      </c>
    </row>
    <row r="20" spans="1:11" x14ac:dyDescent="0.3">
      <c r="A20" s="1">
        <v>19</v>
      </c>
      <c r="B20" s="1">
        <v>24</v>
      </c>
      <c r="C20" s="1" t="s">
        <v>44</v>
      </c>
      <c r="D20" s="1" t="s">
        <v>564</v>
      </c>
      <c r="E20" s="1" t="s">
        <v>10</v>
      </c>
      <c r="F20" s="1" t="str">
        <f>_xlfn.XLOOKUP('February 2025'!B20,'March 2025'!B:B,'March 2025'!F:F)</f>
        <v>Domestic</v>
      </c>
      <c r="G20" s="1">
        <v>14000</v>
      </c>
      <c r="H20" s="1">
        <v>12702.2</v>
      </c>
      <c r="I20" s="1">
        <v>1292</v>
      </c>
      <c r="J20" s="1">
        <v>455</v>
      </c>
      <c r="K20" s="1" t="str">
        <f>_xlfn.XLOOKUP(C20,'March 2025'!C:C,'March 2025'!K:K)</f>
        <v>L-8</v>
      </c>
    </row>
    <row r="21" spans="1:11" x14ac:dyDescent="0.3">
      <c r="A21" s="1">
        <v>20</v>
      </c>
      <c r="B21" s="1">
        <v>27</v>
      </c>
      <c r="C21" s="1" t="s">
        <v>48</v>
      </c>
      <c r="D21" s="1" t="s">
        <v>564</v>
      </c>
      <c r="E21" s="1" t="s">
        <v>10</v>
      </c>
      <c r="F21" s="1" t="str">
        <f>_xlfn.XLOOKUP('February 2025'!B21,'March 2025'!B:B,'March 2025'!F:F)</f>
        <v>Domestic</v>
      </c>
      <c r="G21" s="1">
        <v>20625</v>
      </c>
      <c r="H21" s="1">
        <v>18737.439999999999</v>
      </c>
      <c r="I21" s="1">
        <v>1877</v>
      </c>
      <c r="J21" s="1">
        <v>671</v>
      </c>
      <c r="K21" s="1" t="str">
        <f>_xlfn.XLOOKUP(C21,'March 2025'!C:C,'March 2025'!K:K)</f>
        <v>L-6</v>
      </c>
    </row>
    <row r="22" spans="1:11" x14ac:dyDescent="0.3">
      <c r="A22" s="1">
        <v>21</v>
      </c>
      <c r="B22" s="1">
        <v>29</v>
      </c>
      <c r="C22" s="1" t="s">
        <v>51</v>
      </c>
      <c r="D22" s="1" t="s">
        <v>564</v>
      </c>
      <c r="E22" s="1" t="s">
        <v>42</v>
      </c>
      <c r="F22" s="1" t="str">
        <f>_xlfn.XLOOKUP(C22,'[1]February 2025'!$C:$C,'[1]February 2025'!$I:$I)</f>
        <v>D2C</v>
      </c>
      <c r="G22" s="1">
        <v>79450</v>
      </c>
      <c r="H22" s="1">
        <v>77650</v>
      </c>
      <c r="I22" s="1">
        <v>1950</v>
      </c>
      <c r="J22" s="1">
        <v>0</v>
      </c>
      <c r="K22" s="1" t="str">
        <f>_xlfn.XLOOKUP(C22,'March 2025'!C:C,'March 2025'!K:K)</f>
        <v>L-5</v>
      </c>
    </row>
    <row r="23" spans="1:11" x14ac:dyDescent="0.3">
      <c r="A23" s="1">
        <v>22</v>
      </c>
      <c r="B23" s="1">
        <v>32</v>
      </c>
      <c r="C23" s="1" t="s">
        <v>56</v>
      </c>
      <c r="D23" s="1" t="s">
        <v>564</v>
      </c>
      <c r="E23" s="1" t="s">
        <v>41</v>
      </c>
      <c r="F23" s="1" t="str">
        <f>_xlfn.XLOOKUP(C23,'[1]February 2025'!$C:$C,'[1]February 2025'!$I:$I)</f>
        <v>Manufacturing</v>
      </c>
      <c r="G23" s="1">
        <v>24000</v>
      </c>
      <c r="H23" s="1">
        <v>24000</v>
      </c>
      <c r="I23" s="1">
        <v>0</v>
      </c>
      <c r="J23" s="1">
        <v>0</v>
      </c>
      <c r="K23" s="1" t="str">
        <f>_xlfn.XLOOKUP(C23,'March 2025'!C:C,'March 2025'!K:K)</f>
        <v>L-8</v>
      </c>
    </row>
    <row r="24" spans="1:11" x14ac:dyDescent="0.3">
      <c r="A24" s="1">
        <v>23</v>
      </c>
      <c r="B24" s="1">
        <v>33</v>
      </c>
      <c r="C24" s="1" t="s">
        <v>57</v>
      </c>
      <c r="D24" s="1" t="s">
        <v>564</v>
      </c>
      <c r="E24" s="1" t="s">
        <v>58</v>
      </c>
      <c r="F24" s="1" t="str">
        <f>_xlfn.XLOOKUP('February 2025'!B24,'March 2025'!B:B,'March 2025'!F:F)</f>
        <v>D2C</v>
      </c>
      <c r="G24" s="1">
        <v>31000</v>
      </c>
      <c r="H24" s="1">
        <v>31000</v>
      </c>
      <c r="I24" s="1">
        <v>0</v>
      </c>
      <c r="J24" s="1">
        <v>0</v>
      </c>
      <c r="K24" s="1" t="str">
        <f>_xlfn.XLOOKUP(C24,'March 2025'!C:C,'March 2025'!K:K)</f>
        <v>L-6</v>
      </c>
    </row>
    <row r="25" spans="1:11" x14ac:dyDescent="0.3">
      <c r="A25" s="1">
        <v>24</v>
      </c>
      <c r="B25" s="1">
        <v>37</v>
      </c>
      <c r="C25" s="1" t="s">
        <v>63</v>
      </c>
      <c r="D25" s="1" t="s">
        <v>564</v>
      </c>
      <c r="E25" s="1" t="s">
        <v>64</v>
      </c>
      <c r="F25" s="1" t="str">
        <f>_xlfn.XLOOKUP('February 2025'!B25,'March 2025'!B:B,'March 2025'!F:F)</f>
        <v>Overseas</v>
      </c>
      <c r="G25" s="1">
        <v>40000</v>
      </c>
      <c r="H25" s="1">
        <v>40000</v>
      </c>
      <c r="I25" s="1">
        <v>0</v>
      </c>
      <c r="J25" s="1">
        <v>0</v>
      </c>
      <c r="K25" s="1" t="str">
        <f>_xlfn.XLOOKUP(C25,'March 2025'!C:C,'March 2025'!K:K)</f>
        <v>L-6</v>
      </c>
    </row>
    <row r="26" spans="1:11" x14ac:dyDescent="0.3">
      <c r="A26" s="1">
        <v>25</v>
      </c>
      <c r="B26" s="1">
        <v>38</v>
      </c>
      <c r="C26" s="1" t="s">
        <v>65</v>
      </c>
      <c r="D26" s="1" t="s">
        <v>564</v>
      </c>
      <c r="E26" s="1" t="s">
        <v>558</v>
      </c>
      <c r="F26" s="1" t="str">
        <f>_xlfn.XLOOKUP('February 2025'!B26,'March 2025'!B:B,'March 2025'!F:F)</f>
        <v xml:space="preserve">Admin </v>
      </c>
      <c r="G26" s="1">
        <v>41000</v>
      </c>
      <c r="H26" s="1">
        <v>41000</v>
      </c>
      <c r="I26" s="1">
        <v>0</v>
      </c>
      <c r="J26" s="1">
        <v>0</v>
      </c>
      <c r="K26" s="1" t="str">
        <f>_xlfn.XLOOKUP(C26,'March 2025'!C:C,'March 2025'!K:K)</f>
        <v>L-5</v>
      </c>
    </row>
    <row r="27" spans="1:11" x14ac:dyDescent="0.3">
      <c r="A27" s="1">
        <v>26</v>
      </c>
      <c r="B27" s="1">
        <v>39</v>
      </c>
      <c r="C27" s="1" t="s">
        <v>66</v>
      </c>
      <c r="D27" s="1" t="s">
        <v>564</v>
      </c>
      <c r="E27" s="1" t="s">
        <v>67</v>
      </c>
      <c r="F27" s="1" t="str">
        <f>_xlfn.XLOOKUP('February 2025'!B27,'March 2025'!B:B,'March 2025'!F:F)</f>
        <v>Manufacturing</v>
      </c>
      <c r="G27" s="1">
        <v>30000</v>
      </c>
      <c r="H27" s="1">
        <v>30000</v>
      </c>
      <c r="I27" s="1">
        <v>0</v>
      </c>
      <c r="J27" s="1">
        <v>0</v>
      </c>
      <c r="K27" s="1" t="str">
        <f>_xlfn.XLOOKUP(C27,'March 2025'!C:C,'March 2025'!K:K)</f>
        <v>L-9</v>
      </c>
    </row>
    <row r="28" spans="1:11" x14ac:dyDescent="0.3">
      <c r="A28" s="1">
        <v>27</v>
      </c>
      <c r="B28" s="1">
        <v>40</v>
      </c>
      <c r="C28" s="1" t="s">
        <v>68</v>
      </c>
      <c r="D28" s="1" t="s">
        <v>564</v>
      </c>
      <c r="E28" s="6">
        <v>0.71944444444444444</v>
      </c>
      <c r="F28" s="1" t="str">
        <f>_xlfn.XLOOKUP(C28,'[1]February 2025'!$C:$C,'[1]February 2025'!$I:$I)</f>
        <v>Manufacturing</v>
      </c>
      <c r="G28" s="1">
        <v>30000</v>
      </c>
      <c r="H28" s="1">
        <v>30000</v>
      </c>
      <c r="I28" s="1">
        <v>0</v>
      </c>
      <c r="J28" s="1">
        <v>0</v>
      </c>
      <c r="K28" s="1" t="str">
        <f>_xlfn.XLOOKUP(C28,'March 2025'!C:C,'March 2025'!K:K)</f>
        <v>L-9</v>
      </c>
    </row>
    <row r="29" spans="1:11" x14ac:dyDescent="0.3">
      <c r="A29" s="1">
        <v>28</v>
      </c>
      <c r="B29" s="1">
        <v>41</v>
      </c>
      <c r="C29" s="1" t="s">
        <v>69</v>
      </c>
      <c r="D29" s="1" t="s">
        <v>564</v>
      </c>
      <c r="E29" s="1" t="s">
        <v>67</v>
      </c>
      <c r="F29" s="1" t="str">
        <f>_xlfn.XLOOKUP('February 2025'!B29,'March 2025'!B:B,'March 2025'!F:F)</f>
        <v>Manufacturing</v>
      </c>
      <c r="G29" s="1">
        <v>30000</v>
      </c>
      <c r="H29" s="1">
        <v>30000</v>
      </c>
      <c r="I29" s="1">
        <v>0</v>
      </c>
      <c r="J29" s="1">
        <v>0</v>
      </c>
      <c r="K29" s="1" t="str">
        <f>_xlfn.XLOOKUP(C29,'March 2025'!C:C,'March 2025'!K:K)</f>
        <v>L-9</v>
      </c>
    </row>
    <row r="30" spans="1:11" x14ac:dyDescent="0.3">
      <c r="A30" s="1">
        <v>29</v>
      </c>
      <c r="B30" s="1">
        <v>42</v>
      </c>
      <c r="C30" s="1" t="s">
        <v>70</v>
      </c>
      <c r="D30" s="1" t="s">
        <v>564</v>
      </c>
      <c r="E30" s="1" t="s">
        <v>67</v>
      </c>
      <c r="F30" s="1" t="str">
        <f>_xlfn.XLOOKUP('February 2025'!B30,'March 2025'!B:B,'March 2025'!F:F)</f>
        <v>Manufacturing</v>
      </c>
      <c r="G30" s="1">
        <v>30000</v>
      </c>
      <c r="H30" s="1">
        <v>30000</v>
      </c>
      <c r="I30" s="1">
        <v>0</v>
      </c>
      <c r="J30" s="1">
        <v>0</v>
      </c>
      <c r="K30" s="1" t="str">
        <f>_xlfn.XLOOKUP(C30,'March 2025'!C:C,'March 2025'!K:K)</f>
        <v>L-9</v>
      </c>
    </row>
    <row r="31" spans="1:11" x14ac:dyDescent="0.3">
      <c r="A31" s="1">
        <v>30</v>
      </c>
      <c r="B31" s="1">
        <v>43</v>
      </c>
      <c r="C31" s="1" t="s">
        <v>71</v>
      </c>
      <c r="D31" s="1" t="s">
        <v>564</v>
      </c>
      <c r="E31" s="1" t="s">
        <v>67</v>
      </c>
      <c r="F31" s="1" t="str">
        <f>_xlfn.XLOOKUP('February 2025'!B31,'March 2025'!B:B,'March 2025'!F:F)</f>
        <v>Manufacturing</v>
      </c>
      <c r="G31" s="1">
        <v>30000</v>
      </c>
      <c r="H31" s="1">
        <v>30000</v>
      </c>
      <c r="I31" s="1">
        <v>0</v>
      </c>
      <c r="J31" s="1">
        <v>0</v>
      </c>
      <c r="K31" s="1" t="str">
        <f>_xlfn.XLOOKUP(C31,'March 2025'!C:C,'March 2025'!K:K)</f>
        <v>L-9</v>
      </c>
    </row>
    <row r="32" spans="1:11" x14ac:dyDescent="0.3">
      <c r="A32" s="1">
        <v>31</v>
      </c>
      <c r="B32" s="1">
        <v>44</v>
      </c>
      <c r="C32" s="1" t="s">
        <v>72</v>
      </c>
      <c r="D32" s="1" t="s">
        <v>564</v>
      </c>
      <c r="E32" s="1" t="s">
        <v>67</v>
      </c>
      <c r="F32" s="1" t="str">
        <f>_xlfn.XLOOKUP('February 2025'!B32,'March 2025'!B:B,'March 2025'!F:F)</f>
        <v>Manufacturing</v>
      </c>
      <c r="G32" s="1">
        <v>30000</v>
      </c>
      <c r="H32" s="1">
        <v>30000</v>
      </c>
      <c r="I32" s="1">
        <v>0</v>
      </c>
      <c r="J32" s="1">
        <v>0</v>
      </c>
      <c r="K32" s="1" t="str">
        <f>_xlfn.XLOOKUP(C32,'March 2025'!C:C,'March 2025'!K:K)</f>
        <v>L-9</v>
      </c>
    </row>
    <row r="33" spans="1:11" x14ac:dyDescent="0.3">
      <c r="A33" s="1">
        <v>32</v>
      </c>
      <c r="B33" s="1">
        <v>46</v>
      </c>
      <c r="C33" s="1" t="s">
        <v>74</v>
      </c>
      <c r="D33" s="1" t="s">
        <v>564</v>
      </c>
      <c r="E33" s="1" t="s">
        <v>42</v>
      </c>
      <c r="F33" s="1" t="str">
        <f>_xlfn.XLOOKUP('February 2025'!B33,'March 2025'!B:B,'March 2025'!F:F)</f>
        <v>Overseas</v>
      </c>
      <c r="G33" s="1">
        <v>80000</v>
      </c>
      <c r="H33" s="1">
        <v>80000</v>
      </c>
      <c r="I33" s="1">
        <v>0</v>
      </c>
      <c r="J33" s="1">
        <v>0</v>
      </c>
      <c r="K33" s="1" t="str">
        <f>_xlfn.XLOOKUP(C33,'March 2025'!C:C,'March 2025'!K:K)</f>
        <v>L-5</v>
      </c>
    </row>
    <row r="34" spans="1:11" x14ac:dyDescent="0.3">
      <c r="A34" s="1">
        <v>33</v>
      </c>
      <c r="B34" s="1">
        <v>47</v>
      </c>
      <c r="C34" s="1" t="s">
        <v>75</v>
      </c>
      <c r="D34" s="1" t="s">
        <v>564</v>
      </c>
      <c r="E34" s="1" t="s">
        <v>76</v>
      </c>
      <c r="F34" s="1" t="str">
        <f>_xlfn.XLOOKUP('February 2025'!B34,'March 2025'!B:B,'March 2025'!F:F)</f>
        <v>D2C</v>
      </c>
      <c r="G34" s="1">
        <v>19000</v>
      </c>
      <c r="H34" s="1">
        <v>18857</v>
      </c>
      <c r="I34" s="1">
        <v>0</v>
      </c>
      <c r="J34" s="1">
        <v>618</v>
      </c>
      <c r="K34" s="1" t="s">
        <v>560</v>
      </c>
    </row>
    <row r="35" spans="1:11" x14ac:dyDescent="0.3">
      <c r="A35" s="1">
        <v>34</v>
      </c>
      <c r="B35" s="1">
        <v>48</v>
      </c>
      <c r="C35" s="1" t="s">
        <v>77</v>
      </c>
      <c r="D35" s="1" t="s">
        <v>564</v>
      </c>
      <c r="E35" s="1" t="s">
        <v>67</v>
      </c>
      <c r="F35" s="1" t="str">
        <f>_xlfn.XLOOKUP('February 2025'!B35,'March 2025'!B:B,'March 2025'!F:F)</f>
        <v>Manufacturing</v>
      </c>
      <c r="G35" s="1">
        <v>30000</v>
      </c>
      <c r="H35" s="1">
        <v>30000</v>
      </c>
      <c r="I35" s="1">
        <v>0</v>
      </c>
      <c r="J35" s="1">
        <v>0</v>
      </c>
      <c r="K35" s="1" t="str">
        <f>_xlfn.XLOOKUP(C35,'March 2025'!C:C,'March 2025'!K:K)</f>
        <v>L-9</v>
      </c>
    </row>
    <row r="36" spans="1:11" x14ac:dyDescent="0.3">
      <c r="A36" s="1">
        <v>35</v>
      </c>
      <c r="B36" s="1">
        <v>49</v>
      </c>
      <c r="C36" s="1" t="s">
        <v>78</v>
      </c>
      <c r="D36" s="1" t="s">
        <v>564</v>
      </c>
      <c r="E36" s="1" t="s">
        <v>67</v>
      </c>
      <c r="F36" s="1" t="str">
        <f>_xlfn.XLOOKUP(C36,'[1]February 2025'!$C:$C,'[1]February 2025'!$I:$I)</f>
        <v>Manufacturing</v>
      </c>
      <c r="G36" s="1">
        <v>30000</v>
      </c>
      <c r="H36" s="1">
        <v>30000</v>
      </c>
      <c r="I36" s="1">
        <v>0</v>
      </c>
      <c r="J36" s="1">
        <v>0</v>
      </c>
      <c r="K36" s="1" t="str">
        <f>_xlfn.XLOOKUP(C36,'March 2025'!C:C,'March 2025'!K:K)</f>
        <v>L-9</v>
      </c>
    </row>
    <row r="37" spans="1:11" x14ac:dyDescent="0.3">
      <c r="A37" s="1">
        <v>36</v>
      </c>
      <c r="B37" s="1">
        <v>10002</v>
      </c>
      <c r="C37" s="1" t="s">
        <v>80</v>
      </c>
      <c r="D37" s="1" t="s">
        <v>565</v>
      </c>
      <c r="E37" s="1" t="s">
        <v>61</v>
      </c>
      <c r="F37" s="1" t="str">
        <f>_xlfn.XLOOKUP('February 2025'!B37,'March 2025'!B:B,'March 2025'!F:F)</f>
        <v>Domestic</v>
      </c>
      <c r="G37" s="1">
        <v>14000</v>
      </c>
      <c r="H37" s="1">
        <v>14000</v>
      </c>
      <c r="I37" s="1">
        <v>0</v>
      </c>
      <c r="J37" s="1">
        <v>0</v>
      </c>
      <c r="K37" s="1" t="str">
        <f>_xlfn.XLOOKUP(C37,'March 2025'!C:C,'March 2025'!K:K)</f>
        <v>L-10</v>
      </c>
    </row>
    <row r="38" spans="1:11" x14ac:dyDescent="0.3">
      <c r="A38" s="1">
        <v>37</v>
      </c>
      <c r="B38" s="1">
        <v>10004</v>
      </c>
      <c r="C38" s="1" t="s">
        <v>83</v>
      </c>
      <c r="D38" s="1" t="s">
        <v>565</v>
      </c>
      <c r="E38" s="1" t="s">
        <v>21</v>
      </c>
      <c r="F38" s="1" t="str">
        <f>_xlfn.XLOOKUP('February 2025'!B38,'March 2025'!B:B,'March 2025'!F:F)</f>
        <v>Manufacturing</v>
      </c>
      <c r="G38" s="1">
        <v>15000</v>
      </c>
      <c r="H38" s="1">
        <v>15000</v>
      </c>
      <c r="I38" s="1">
        <v>0</v>
      </c>
      <c r="J38" s="1">
        <v>0</v>
      </c>
      <c r="K38" s="1" t="str">
        <f>_xlfn.XLOOKUP(C38,'March 2025'!C:C,'March 2025'!K:K)</f>
        <v>L-9</v>
      </c>
    </row>
    <row r="39" spans="1:11" x14ac:dyDescent="0.3">
      <c r="A39" s="1">
        <v>38</v>
      </c>
      <c r="B39" s="1">
        <v>10005</v>
      </c>
      <c r="C39" s="1" t="s">
        <v>84</v>
      </c>
      <c r="D39" s="1" t="s">
        <v>565</v>
      </c>
      <c r="E39" s="1" t="s">
        <v>55</v>
      </c>
      <c r="F39" s="1" t="str">
        <f>_xlfn.XLOOKUP('February 2025'!B39,'March 2025'!B:B,'March 2025'!F:F)</f>
        <v>Manufacturing</v>
      </c>
      <c r="G39" s="1">
        <v>16000</v>
      </c>
      <c r="H39" s="1">
        <v>16000</v>
      </c>
      <c r="I39" s="1">
        <v>0</v>
      </c>
      <c r="J39" s="1">
        <v>0</v>
      </c>
      <c r="K39" s="1" t="str">
        <f>_xlfn.XLOOKUP(C39,'March 2025'!C:C,'March 2025'!K:K)</f>
        <v>L-8</v>
      </c>
    </row>
    <row r="40" spans="1:11" x14ac:dyDescent="0.3">
      <c r="A40" s="1">
        <v>39</v>
      </c>
      <c r="B40" s="1">
        <v>10006</v>
      </c>
      <c r="C40" s="1" t="s">
        <v>85</v>
      </c>
      <c r="D40" s="1" t="s">
        <v>565</v>
      </c>
      <c r="E40" s="1" t="s">
        <v>12</v>
      </c>
      <c r="F40" s="1" t="str">
        <f>_xlfn.XLOOKUP('February 2025'!B40,'March 2025'!B:B,'March 2025'!F:F)</f>
        <v>Manufacturing</v>
      </c>
      <c r="G40" s="1">
        <v>16000</v>
      </c>
      <c r="H40" s="1">
        <v>16000</v>
      </c>
      <c r="I40" s="1">
        <v>0</v>
      </c>
      <c r="J40" s="1">
        <v>0</v>
      </c>
      <c r="K40" s="1" t="str">
        <f>_xlfn.XLOOKUP(C40,'March 2025'!C:C,'March 2025'!K:K)</f>
        <v>L-9</v>
      </c>
    </row>
    <row r="41" spans="1:11" x14ac:dyDescent="0.3">
      <c r="A41" s="1">
        <v>40</v>
      </c>
      <c r="B41" s="1">
        <v>10007</v>
      </c>
      <c r="C41" s="1" t="s">
        <v>86</v>
      </c>
      <c r="D41" s="1" t="s">
        <v>565</v>
      </c>
      <c r="E41" s="1" t="s">
        <v>10</v>
      </c>
      <c r="F41" s="1" t="str">
        <f>_xlfn.XLOOKUP(C41,'[1]February 2025'!$C:$C,'[1]February 2025'!$I:$I)</f>
        <v>Manufacturing</v>
      </c>
      <c r="G41" s="1">
        <v>13500</v>
      </c>
      <c r="H41" s="1">
        <v>13500</v>
      </c>
      <c r="I41" s="1">
        <v>0</v>
      </c>
      <c r="J41" s="1">
        <v>0</v>
      </c>
      <c r="K41" s="1" t="str">
        <f>_xlfn.XLOOKUP(C41,'March 2025'!C:C,'March 2025'!K:K)</f>
        <v>L-8</v>
      </c>
    </row>
    <row r="42" spans="1:11" x14ac:dyDescent="0.3">
      <c r="A42" s="1">
        <v>41</v>
      </c>
      <c r="B42" s="1">
        <v>10008</v>
      </c>
      <c r="C42" s="1" t="s">
        <v>87</v>
      </c>
      <c r="D42" s="1" t="s">
        <v>565</v>
      </c>
      <c r="E42" s="1" t="s">
        <v>88</v>
      </c>
      <c r="F42" s="1" t="str">
        <f>_xlfn.XLOOKUP('February 2025'!B42,'March 2025'!B:B,'March 2025'!F:F)</f>
        <v>Domestic</v>
      </c>
      <c r="G42" s="1">
        <v>10000</v>
      </c>
      <c r="H42" s="1">
        <v>10000</v>
      </c>
      <c r="I42" s="1">
        <v>0</v>
      </c>
      <c r="J42" s="1">
        <v>0</v>
      </c>
      <c r="K42" s="1" t="str">
        <f>_xlfn.XLOOKUP(C42,'March 2025'!C:C,'March 2025'!K:K)</f>
        <v>L-10</v>
      </c>
    </row>
    <row r="43" spans="1:11" x14ac:dyDescent="0.3">
      <c r="A43" s="1">
        <v>42</v>
      </c>
      <c r="B43" s="1">
        <v>10009</v>
      </c>
      <c r="C43" s="1" t="s">
        <v>89</v>
      </c>
      <c r="D43" s="1" t="s">
        <v>565</v>
      </c>
      <c r="E43" s="1" t="s">
        <v>53</v>
      </c>
      <c r="F43" s="1" t="str">
        <f>_xlfn.XLOOKUP(C43,'[1]February 2025'!$C:$C,'[1]February 2025'!$I:$I)</f>
        <v>Domestic</v>
      </c>
      <c r="G43" s="1">
        <v>11500</v>
      </c>
      <c r="H43" s="1">
        <v>11500</v>
      </c>
      <c r="I43" s="1">
        <v>0</v>
      </c>
      <c r="J43" s="1">
        <v>0</v>
      </c>
      <c r="K43" s="1" t="str">
        <f>_xlfn.XLOOKUP(C43,'March 2025'!C:C,'March 2025'!K:K)</f>
        <v>L-10</v>
      </c>
    </row>
    <row r="44" spans="1:11" x14ac:dyDescent="0.3">
      <c r="A44" s="1">
        <v>43</v>
      </c>
      <c r="B44" s="1">
        <v>10012</v>
      </c>
      <c r="C44" s="1" t="s">
        <v>92</v>
      </c>
      <c r="D44" s="1" t="s">
        <v>565</v>
      </c>
      <c r="E44" s="1" t="s">
        <v>93</v>
      </c>
      <c r="F44" s="1" t="str">
        <f>_xlfn.XLOOKUP('February 2025'!B44,'March 2025'!B:B,'March 2025'!F:F)</f>
        <v>Manufacturing</v>
      </c>
      <c r="G44" s="1">
        <v>14000</v>
      </c>
      <c r="H44" s="1">
        <v>14000</v>
      </c>
      <c r="I44" s="1">
        <v>0</v>
      </c>
      <c r="J44" s="1">
        <v>0</v>
      </c>
      <c r="K44" s="1" t="str">
        <f>_xlfn.XLOOKUP(C44,'March 2025'!C:C,'March 2025'!K:K)</f>
        <v>L-10</v>
      </c>
    </row>
    <row r="45" spans="1:11" x14ac:dyDescent="0.3">
      <c r="A45" s="1">
        <v>44</v>
      </c>
      <c r="B45" s="1">
        <v>10013</v>
      </c>
      <c r="C45" s="1" t="s">
        <v>94</v>
      </c>
      <c r="D45" s="1" t="s">
        <v>565</v>
      </c>
      <c r="E45" s="1" t="s">
        <v>10</v>
      </c>
      <c r="F45" s="1" t="str">
        <f>_xlfn.XLOOKUP('February 2025'!B45,'March 2025'!B:B,'March 2025'!F:F)</f>
        <v>Office Support</v>
      </c>
      <c r="G45" s="1">
        <v>13500</v>
      </c>
      <c r="H45" s="1">
        <v>13500</v>
      </c>
      <c r="I45" s="1">
        <v>0</v>
      </c>
      <c r="J45" s="1">
        <v>0</v>
      </c>
      <c r="K45" s="1" t="str">
        <f>_xlfn.XLOOKUP(C45,'March 2025'!C:C,'March 2025'!K:K)</f>
        <v>L-8</v>
      </c>
    </row>
    <row r="46" spans="1:11" x14ac:dyDescent="0.3">
      <c r="A46" s="1">
        <v>45</v>
      </c>
      <c r="B46" s="1">
        <v>10014</v>
      </c>
      <c r="C46" s="1" t="s">
        <v>95</v>
      </c>
      <c r="D46" s="1" t="s">
        <v>565</v>
      </c>
      <c r="E46" s="1" t="s">
        <v>53</v>
      </c>
      <c r="F46" s="1" t="str">
        <f>_xlfn.XLOOKUP('February 2025'!B46,'March 2025'!B:B,'March 2025'!F:F)</f>
        <v>Office Support</v>
      </c>
      <c r="G46" s="1">
        <v>12000</v>
      </c>
      <c r="H46" s="1">
        <v>12000</v>
      </c>
      <c r="I46" s="1">
        <v>0</v>
      </c>
      <c r="J46" s="1">
        <v>0</v>
      </c>
      <c r="K46" s="1" t="str">
        <f>_xlfn.XLOOKUP(C46,'March 2025'!C:C,'March 2025'!K:K)</f>
        <v>L-10</v>
      </c>
    </row>
    <row r="47" spans="1:11" x14ac:dyDescent="0.3">
      <c r="A47" s="1">
        <v>46</v>
      </c>
      <c r="B47" s="1">
        <v>10015</v>
      </c>
      <c r="C47" s="1" t="s">
        <v>96</v>
      </c>
      <c r="D47" s="1" t="s">
        <v>565</v>
      </c>
      <c r="E47" s="1" t="s">
        <v>35</v>
      </c>
      <c r="F47" s="1" t="str">
        <f>_xlfn.XLOOKUP('February 2025'!B47,'March 2025'!B:B,'March 2025'!F:F)</f>
        <v>Manufacturing</v>
      </c>
      <c r="G47" s="1">
        <v>14000</v>
      </c>
      <c r="H47" s="1">
        <v>14000</v>
      </c>
      <c r="I47" s="1">
        <v>0</v>
      </c>
      <c r="J47" s="1">
        <v>0</v>
      </c>
      <c r="K47" s="1" t="str">
        <f>_xlfn.XLOOKUP(C47,'March 2025'!C:C,'March 2025'!K:K)</f>
        <v>L-9</v>
      </c>
    </row>
    <row r="48" spans="1:11" x14ac:dyDescent="0.3">
      <c r="A48" s="1">
        <v>47</v>
      </c>
      <c r="B48" s="1">
        <v>10016</v>
      </c>
      <c r="C48" s="1" t="s">
        <v>97</v>
      </c>
      <c r="D48" s="1" t="s">
        <v>565</v>
      </c>
      <c r="E48" s="1" t="s">
        <v>10</v>
      </c>
      <c r="F48" s="1" t="str">
        <f>_xlfn.XLOOKUP('February 2025'!B48,'March 2025'!B:B,'March 2025'!F:F)</f>
        <v>Manufacturing</v>
      </c>
      <c r="G48" s="1">
        <v>12500</v>
      </c>
      <c r="H48" s="1">
        <v>12500</v>
      </c>
      <c r="I48" s="1">
        <v>0</v>
      </c>
      <c r="J48" s="1">
        <v>0</v>
      </c>
      <c r="K48" s="1" t="str">
        <f>_xlfn.XLOOKUP(C48,'March 2025'!C:C,'March 2025'!K:K)</f>
        <v>L-8</v>
      </c>
    </row>
    <row r="49" spans="1:11" x14ac:dyDescent="0.3">
      <c r="A49" s="1">
        <v>48</v>
      </c>
      <c r="B49" s="1">
        <v>10017</v>
      </c>
      <c r="C49" s="1" t="s">
        <v>98</v>
      </c>
      <c r="D49" s="1" t="s">
        <v>565</v>
      </c>
      <c r="E49" s="1" t="s">
        <v>53</v>
      </c>
      <c r="F49" s="1" t="str">
        <f>_xlfn.XLOOKUP(C49,'[1]February 2025'!$C:$C,'[1]February 2025'!$I:$I)</f>
        <v>Domestic</v>
      </c>
      <c r="G49" s="1">
        <v>13000</v>
      </c>
      <c r="H49" s="1">
        <v>13000</v>
      </c>
      <c r="I49" s="1">
        <v>0</v>
      </c>
      <c r="J49" s="1">
        <v>0</v>
      </c>
      <c r="K49" s="1" t="str">
        <f>_xlfn.XLOOKUP(C49,'March 2025'!C:C,'March 2025'!K:K)</f>
        <v>L-10</v>
      </c>
    </row>
    <row r="50" spans="1:11" x14ac:dyDescent="0.3">
      <c r="A50" s="1">
        <v>49</v>
      </c>
      <c r="B50" s="1">
        <v>10018</v>
      </c>
      <c r="C50" s="1" t="s">
        <v>99</v>
      </c>
      <c r="D50" s="1" t="s">
        <v>565</v>
      </c>
      <c r="E50" s="1" t="s">
        <v>35</v>
      </c>
      <c r="F50" s="1" t="str">
        <f>_xlfn.XLOOKUP('February 2025'!B50,'March 2025'!B:B,'March 2025'!F:F)</f>
        <v>Manufacturing</v>
      </c>
      <c r="G50" s="1">
        <v>15700</v>
      </c>
      <c r="H50" s="1">
        <v>15700</v>
      </c>
      <c r="I50" s="1">
        <v>0</v>
      </c>
      <c r="J50" s="1">
        <v>0</v>
      </c>
      <c r="K50" s="1" t="str">
        <f>_xlfn.XLOOKUP(C50,'March 2025'!C:C,'March 2025'!K:K)</f>
        <v>L-9</v>
      </c>
    </row>
    <row r="51" spans="1:11" x14ac:dyDescent="0.3">
      <c r="A51" s="1">
        <v>50</v>
      </c>
      <c r="B51" s="1">
        <v>10020</v>
      </c>
      <c r="C51" s="1" t="s">
        <v>101</v>
      </c>
      <c r="D51" s="1" t="s">
        <v>565</v>
      </c>
      <c r="E51" s="1" t="s">
        <v>35</v>
      </c>
      <c r="F51" s="1" t="str">
        <f>_xlfn.XLOOKUP('February 2025'!B51,'March 2025'!B:B,'March 2025'!F:F)</f>
        <v>Manufacturing</v>
      </c>
      <c r="G51" s="1">
        <v>13000</v>
      </c>
      <c r="H51" s="1">
        <v>13000</v>
      </c>
      <c r="I51" s="1">
        <v>0</v>
      </c>
      <c r="J51" s="1">
        <v>0</v>
      </c>
      <c r="K51" s="1" t="str">
        <f>_xlfn.XLOOKUP(C51,'March 2025'!C:C,'March 2025'!K:K)</f>
        <v>L-9</v>
      </c>
    </row>
    <row r="52" spans="1:11" x14ac:dyDescent="0.3">
      <c r="A52" s="1">
        <v>51</v>
      </c>
      <c r="B52" s="1">
        <v>10021</v>
      </c>
      <c r="C52" s="1" t="s">
        <v>102</v>
      </c>
      <c r="D52" s="1" t="s">
        <v>565</v>
      </c>
      <c r="E52" s="1" t="s">
        <v>35</v>
      </c>
      <c r="F52" s="1" t="str">
        <f>_xlfn.XLOOKUP(C52,'[1]February 2025'!$C:$C,'[1]February 2025'!$I:$I)</f>
        <v>Manufacturing</v>
      </c>
      <c r="G52" s="1">
        <v>13000</v>
      </c>
      <c r="H52" s="1">
        <v>13000</v>
      </c>
      <c r="I52" s="1">
        <v>0</v>
      </c>
      <c r="J52" s="1">
        <v>0</v>
      </c>
      <c r="K52" s="1" t="str">
        <f>_xlfn.XLOOKUP(C52,'March 2025'!C:C,'March 2025'!K:K)</f>
        <v>L-9</v>
      </c>
    </row>
    <row r="53" spans="1:11" x14ac:dyDescent="0.3">
      <c r="A53" s="1">
        <v>52</v>
      </c>
      <c r="B53" s="1">
        <v>10027</v>
      </c>
      <c r="C53" s="1" t="s">
        <v>108</v>
      </c>
      <c r="D53" s="1" t="s">
        <v>565</v>
      </c>
      <c r="E53" s="1" t="s">
        <v>64</v>
      </c>
      <c r="F53" s="1" t="str">
        <f>_xlfn.XLOOKUP('February 2025'!B53,'March 2025'!B:B,'March 2025'!F:F)</f>
        <v>Manufacturing</v>
      </c>
      <c r="G53" s="1">
        <v>6500</v>
      </c>
      <c r="H53" s="1">
        <v>6500</v>
      </c>
      <c r="I53" s="1">
        <v>0</v>
      </c>
      <c r="J53" s="1">
        <v>0</v>
      </c>
      <c r="K53" s="1" t="str">
        <f>_xlfn.XLOOKUP(C53,'March 2025'!C:C,'March 2025'!K:K)</f>
        <v>L-7</v>
      </c>
    </row>
    <row r="54" spans="1:11" x14ac:dyDescent="0.3">
      <c r="A54" s="1">
        <v>53</v>
      </c>
      <c r="B54" s="1">
        <v>10032</v>
      </c>
      <c r="C54" s="1" t="s">
        <v>113</v>
      </c>
      <c r="D54" s="1" t="s">
        <v>565</v>
      </c>
      <c r="E54" s="1" t="s">
        <v>53</v>
      </c>
      <c r="F54" s="1" t="str">
        <f>_xlfn.XLOOKUP('February 2025'!B54,'March 2025'!B:B,'March 2025'!F:F)</f>
        <v>Manufacturing</v>
      </c>
      <c r="G54" s="1">
        <v>12500</v>
      </c>
      <c r="H54" s="1">
        <v>12500</v>
      </c>
      <c r="I54" s="1">
        <v>0</v>
      </c>
      <c r="J54" s="1">
        <v>0</v>
      </c>
      <c r="K54" s="1" t="s">
        <v>557</v>
      </c>
    </row>
    <row r="55" spans="1:11" x14ac:dyDescent="0.3">
      <c r="A55" s="1">
        <v>54</v>
      </c>
      <c r="B55" s="1">
        <v>10033</v>
      </c>
      <c r="C55" s="1" t="s">
        <v>114</v>
      </c>
      <c r="D55" s="1" t="s">
        <v>565</v>
      </c>
      <c r="E55" s="1" t="s">
        <v>53</v>
      </c>
      <c r="F55" s="1" t="str">
        <f>_xlfn.XLOOKUP('February 2025'!B55,'March 2025'!B:B,'March 2025'!F:F)</f>
        <v>Manufacturing</v>
      </c>
      <c r="G55" s="1">
        <v>12500</v>
      </c>
      <c r="H55" s="1">
        <v>12500</v>
      </c>
      <c r="I55" s="1">
        <v>0</v>
      </c>
      <c r="J55" s="1">
        <v>0</v>
      </c>
      <c r="K55" s="1" t="s">
        <v>557</v>
      </c>
    </row>
    <row r="56" spans="1:11" x14ac:dyDescent="0.3">
      <c r="A56" s="1">
        <v>55</v>
      </c>
      <c r="B56" s="1">
        <v>10036</v>
      </c>
      <c r="C56" s="1" t="s">
        <v>117</v>
      </c>
      <c r="D56" s="1" t="s">
        <v>565</v>
      </c>
      <c r="E56" s="1" t="s">
        <v>35</v>
      </c>
      <c r="F56" s="1" t="str">
        <f>_xlfn.XLOOKUP('February 2025'!B56,'March 2025'!B:B,'March 2025'!F:F)</f>
        <v>Domestic</v>
      </c>
      <c r="G56" s="1">
        <v>13000</v>
      </c>
      <c r="H56" s="1">
        <v>13000</v>
      </c>
      <c r="I56" s="1">
        <v>0</v>
      </c>
      <c r="J56" s="1">
        <v>0</v>
      </c>
      <c r="K56" s="1" t="str">
        <f>_xlfn.XLOOKUP(C56,'March 2025'!C:C,'March 2025'!K:K)</f>
        <v>L-9</v>
      </c>
    </row>
    <row r="57" spans="1:11" x14ac:dyDescent="0.3">
      <c r="A57" s="1">
        <v>56</v>
      </c>
      <c r="B57" s="1">
        <v>10037</v>
      </c>
      <c r="C57" s="1" t="s">
        <v>118</v>
      </c>
      <c r="D57" s="1" t="s">
        <v>565</v>
      </c>
      <c r="E57" s="1" t="s">
        <v>35</v>
      </c>
      <c r="F57" s="1" t="str">
        <f>_xlfn.XLOOKUP(C57,'[1]February 2025'!$C:$C,'[1]February 2025'!$I:$I)</f>
        <v>Domestic</v>
      </c>
      <c r="G57" s="1">
        <v>13500</v>
      </c>
      <c r="H57" s="1">
        <v>13500</v>
      </c>
      <c r="I57" s="1">
        <v>0</v>
      </c>
      <c r="J57" s="1">
        <v>0</v>
      </c>
      <c r="K57" s="1" t="str">
        <f>_xlfn.XLOOKUP(C57,'March 2025'!C:C,'March 2025'!K:K)</f>
        <v>L-9</v>
      </c>
    </row>
    <row r="58" spans="1:11" x14ac:dyDescent="0.3">
      <c r="A58" s="1">
        <v>57</v>
      </c>
      <c r="B58" s="1">
        <v>10041</v>
      </c>
      <c r="C58" s="1" t="s">
        <v>122</v>
      </c>
      <c r="D58" s="1" t="s">
        <v>565</v>
      </c>
      <c r="E58" s="1" t="s">
        <v>35</v>
      </c>
      <c r="F58" s="1" t="str">
        <f>_xlfn.XLOOKUP('February 2025'!B58,'March 2025'!B:B,'March 2025'!F:F)</f>
        <v>Manufacturing</v>
      </c>
      <c r="G58" s="1">
        <v>14000</v>
      </c>
      <c r="H58" s="1">
        <v>14000</v>
      </c>
      <c r="I58" s="1">
        <v>0</v>
      </c>
      <c r="J58" s="1">
        <v>0</v>
      </c>
      <c r="K58" s="1" t="str">
        <f>_xlfn.XLOOKUP(C58,'March 2025'!C:C,'March 2025'!K:K)</f>
        <v>L-9</v>
      </c>
    </row>
    <row r="59" spans="1:11" x14ac:dyDescent="0.3">
      <c r="A59" s="1">
        <v>58</v>
      </c>
      <c r="B59" s="1">
        <v>10043</v>
      </c>
      <c r="C59" s="1" t="s">
        <v>124</v>
      </c>
      <c r="D59" s="1" t="s">
        <v>565</v>
      </c>
      <c r="E59" s="1" t="s">
        <v>35</v>
      </c>
      <c r="F59" s="1" t="str">
        <f>_xlfn.XLOOKUP('February 2025'!B59,'March 2025'!B:B,'March 2025'!F:F)</f>
        <v>Manufacturing</v>
      </c>
      <c r="G59" s="1">
        <v>11500</v>
      </c>
      <c r="H59" s="1">
        <v>11500</v>
      </c>
      <c r="I59" s="1">
        <v>0</v>
      </c>
      <c r="J59" s="1">
        <v>0</v>
      </c>
      <c r="K59" s="1" t="str">
        <f>_xlfn.XLOOKUP(C59,'March 2025'!C:C,'March 2025'!K:K)</f>
        <v>L-9</v>
      </c>
    </row>
    <row r="60" spans="1:11" x14ac:dyDescent="0.3">
      <c r="A60" s="1">
        <v>59</v>
      </c>
      <c r="B60" s="1">
        <v>10044</v>
      </c>
      <c r="C60" s="1" t="s">
        <v>125</v>
      </c>
      <c r="D60" s="1" t="s">
        <v>565</v>
      </c>
      <c r="E60" s="1" t="s">
        <v>35</v>
      </c>
      <c r="F60" s="1" t="str">
        <f>_xlfn.XLOOKUP('February 2025'!B60,'March 2025'!B:B,'March 2025'!F:F)</f>
        <v>Manufacturing</v>
      </c>
      <c r="G60" s="1">
        <v>12500</v>
      </c>
      <c r="H60" s="1">
        <v>12500</v>
      </c>
      <c r="I60" s="1">
        <v>0</v>
      </c>
      <c r="J60" s="1">
        <v>0</v>
      </c>
      <c r="K60" s="1" t="s">
        <v>556</v>
      </c>
    </row>
    <row r="61" spans="1:11" x14ac:dyDescent="0.3">
      <c r="A61" s="1">
        <v>60</v>
      </c>
      <c r="B61" s="1">
        <v>10046</v>
      </c>
      <c r="C61" s="1" t="s">
        <v>127</v>
      </c>
      <c r="D61" s="1" t="s">
        <v>565</v>
      </c>
      <c r="E61" s="1" t="s">
        <v>55</v>
      </c>
      <c r="F61" s="1" t="str">
        <f>_xlfn.XLOOKUP('February 2025'!B61,'March 2025'!B:B,'March 2025'!F:F)</f>
        <v>Manufacturing</v>
      </c>
      <c r="G61" s="1">
        <v>16500</v>
      </c>
      <c r="H61" s="1">
        <v>16500</v>
      </c>
      <c r="I61" s="1">
        <v>0</v>
      </c>
      <c r="J61" s="1">
        <v>0</v>
      </c>
      <c r="K61" s="1" t="str">
        <f>_xlfn.XLOOKUP(C61,'March 2025'!C:C,'March 2025'!K:K)</f>
        <v>L-7</v>
      </c>
    </row>
    <row r="62" spans="1:11" x14ac:dyDescent="0.3">
      <c r="A62" s="1">
        <v>61</v>
      </c>
      <c r="B62" s="1">
        <v>10049</v>
      </c>
      <c r="C62" s="1" t="s">
        <v>131</v>
      </c>
      <c r="D62" s="1" t="s">
        <v>565</v>
      </c>
      <c r="E62" s="1" t="s">
        <v>53</v>
      </c>
      <c r="F62" s="1" t="str">
        <f>_xlfn.XLOOKUP(C62,'[1]February 2025'!$C:$C,'[1]February 2025'!$I:$I)</f>
        <v>Domestic</v>
      </c>
      <c r="G62" s="1">
        <v>13000</v>
      </c>
      <c r="H62" s="1">
        <v>13000</v>
      </c>
      <c r="I62" s="1">
        <v>0</v>
      </c>
      <c r="J62" s="1">
        <v>0</v>
      </c>
      <c r="K62" s="1" t="str">
        <f>_xlfn.XLOOKUP(C62,'March 2025'!C:C,'March 2025'!K:K)</f>
        <v>L-10</v>
      </c>
    </row>
    <row r="63" spans="1:11" x14ac:dyDescent="0.3">
      <c r="A63" s="1">
        <v>62</v>
      </c>
      <c r="B63" s="1">
        <v>10050</v>
      </c>
      <c r="C63" s="1" t="s">
        <v>132</v>
      </c>
      <c r="D63" s="1" t="s">
        <v>565</v>
      </c>
      <c r="E63" s="1" t="s">
        <v>53</v>
      </c>
      <c r="F63" s="1" t="str">
        <f>_xlfn.XLOOKUP(C63,'[1]February 2025'!$C:$C,'[1]February 2025'!$I:$I)</f>
        <v>Manufacturing</v>
      </c>
      <c r="G63" s="1">
        <v>11000</v>
      </c>
      <c r="H63" s="1">
        <v>11000</v>
      </c>
      <c r="I63" s="1">
        <v>0</v>
      </c>
      <c r="J63" s="1">
        <v>0</v>
      </c>
      <c r="K63" s="1" t="str">
        <f>_xlfn.XLOOKUP(C63,'March 2025'!C:C,'March 2025'!K:K)</f>
        <v>L-10</v>
      </c>
    </row>
    <row r="64" spans="1:11" x14ac:dyDescent="0.3">
      <c r="A64" s="1">
        <v>63</v>
      </c>
      <c r="B64" s="1">
        <v>10053</v>
      </c>
      <c r="C64" s="1" t="s">
        <v>136</v>
      </c>
      <c r="D64" s="1" t="s">
        <v>565</v>
      </c>
      <c r="E64" s="1" t="s">
        <v>55</v>
      </c>
      <c r="F64" s="1" t="str">
        <f>_xlfn.XLOOKUP('February 2025'!B64,'March 2025'!B:B,'March 2025'!F:F)</f>
        <v>Manufacturing</v>
      </c>
      <c r="G64" s="1">
        <v>13000</v>
      </c>
      <c r="H64" s="1">
        <v>13000</v>
      </c>
      <c r="I64" s="1">
        <v>0</v>
      </c>
      <c r="J64" s="1">
        <v>0</v>
      </c>
      <c r="K64" s="1" t="str">
        <f>_xlfn.XLOOKUP(C64,'March 2025'!C:C,'March 2025'!K:K)</f>
        <v>L-7</v>
      </c>
    </row>
    <row r="65" spans="1:11" x14ac:dyDescent="0.3">
      <c r="A65" s="1">
        <v>64</v>
      </c>
      <c r="B65" s="1">
        <v>10054</v>
      </c>
      <c r="C65" s="1" t="s">
        <v>137</v>
      </c>
      <c r="D65" s="1" t="s">
        <v>565</v>
      </c>
      <c r="E65" s="1" t="s">
        <v>55</v>
      </c>
      <c r="F65" s="1" t="str">
        <f>_xlfn.XLOOKUP('February 2025'!B65,'March 2025'!B:B,'March 2025'!F:F)</f>
        <v>Domestic</v>
      </c>
      <c r="G65" s="1">
        <v>14500</v>
      </c>
      <c r="H65" s="1">
        <v>14500</v>
      </c>
      <c r="I65" s="1">
        <v>0</v>
      </c>
      <c r="J65" s="1">
        <v>0</v>
      </c>
      <c r="K65" s="1" t="str">
        <f>_xlfn.XLOOKUP(C65,'March 2025'!C:C,'March 2025'!K:K)</f>
        <v>L-7</v>
      </c>
    </row>
    <row r="66" spans="1:11" x14ac:dyDescent="0.3">
      <c r="A66" s="1">
        <v>65</v>
      </c>
      <c r="B66" s="1">
        <v>10055</v>
      </c>
      <c r="C66" s="1" t="s">
        <v>138</v>
      </c>
      <c r="D66" s="1" t="s">
        <v>565</v>
      </c>
      <c r="E66" s="1" t="s">
        <v>53</v>
      </c>
      <c r="F66" s="1" t="str">
        <f>_xlfn.XLOOKUP(C66,'[1]February 2025'!$C:$C,'[1]February 2025'!$I:$I)</f>
        <v>Domestic</v>
      </c>
      <c r="G66" s="1">
        <v>11000</v>
      </c>
      <c r="H66" s="1">
        <v>11000</v>
      </c>
      <c r="I66" s="1">
        <v>0</v>
      </c>
      <c r="J66" s="1">
        <v>0</v>
      </c>
      <c r="K66" s="1" t="str">
        <f>_xlfn.XLOOKUP(C66,'March 2025'!C:C,'March 2025'!K:K)</f>
        <v>L-10</v>
      </c>
    </row>
    <row r="67" spans="1:11" x14ac:dyDescent="0.3">
      <c r="A67" s="1">
        <v>66</v>
      </c>
      <c r="B67" s="1">
        <v>10057</v>
      </c>
      <c r="C67" s="1" t="s">
        <v>140</v>
      </c>
      <c r="D67" s="1" t="s">
        <v>565</v>
      </c>
      <c r="E67" s="1" t="s">
        <v>12</v>
      </c>
      <c r="F67" s="1" t="str">
        <f>_xlfn.XLOOKUP('February 2025'!B67,'March 2025'!B:B,'March 2025'!F:F)</f>
        <v>Manufacturing</v>
      </c>
      <c r="G67" s="1">
        <v>22000</v>
      </c>
      <c r="H67" s="1">
        <v>22000</v>
      </c>
      <c r="I67" s="1">
        <v>0</v>
      </c>
      <c r="J67" s="1">
        <v>0</v>
      </c>
      <c r="K67" s="1" t="str">
        <f>_xlfn.XLOOKUP(C67,'March 2025'!C:C,'March 2025'!K:K)</f>
        <v>L-9</v>
      </c>
    </row>
    <row r="68" spans="1:11" x14ac:dyDescent="0.3">
      <c r="A68" s="1">
        <v>67</v>
      </c>
      <c r="B68" s="1">
        <v>10061</v>
      </c>
      <c r="C68" s="1" t="s">
        <v>144</v>
      </c>
      <c r="D68" s="1" t="s">
        <v>565</v>
      </c>
      <c r="E68" s="1" t="s">
        <v>8</v>
      </c>
      <c r="F68" s="1" t="str">
        <f>_xlfn.XLOOKUP('February 2025'!B68,'March 2025'!B:B,'March 2025'!F:F)</f>
        <v>Domestic</v>
      </c>
      <c r="G68" s="1">
        <v>8800</v>
      </c>
      <c r="H68" s="1">
        <v>8800</v>
      </c>
      <c r="I68" s="1">
        <v>0</v>
      </c>
      <c r="J68" s="1">
        <v>0</v>
      </c>
      <c r="K68" s="1" t="str">
        <f>_xlfn.XLOOKUP(C68,'March 2025'!C:C,'March 2025'!K:K)</f>
        <v>L-9</v>
      </c>
    </row>
    <row r="69" spans="1:11" x14ac:dyDescent="0.3">
      <c r="A69" s="1">
        <v>68</v>
      </c>
      <c r="B69" s="1">
        <v>10062</v>
      </c>
      <c r="C69" s="1" t="s">
        <v>145</v>
      </c>
      <c r="D69" s="1" t="s">
        <v>565</v>
      </c>
      <c r="E69" s="1" t="s">
        <v>53</v>
      </c>
      <c r="F69" s="1" t="str">
        <f>_xlfn.XLOOKUP('February 2025'!B69,'March 2025'!B:B,'March 2025'!F:F)</f>
        <v>Manufacturing</v>
      </c>
      <c r="G69" s="1">
        <v>10500</v>
      </c>
      <c r="H69" s="1">
        <v>10500</v>
      </c>
      <c r="I69" s="1">
        <v>0</v>
      </c>
      <c r="J69" s="1">
        <v>0</v>
      </c>
      <c r="K69" s="1" t="str">
        <f>_xlfn.XLOOKUP(C69,'March 2025'!C:C,'March 2025'!K:K)</f>
        <v>L-10</v>
      </c>
    </row>
    <row r="70" spans="1:11" x14ac:dyDescent="0.3">
      <c r="A70" s="1">
        <v>69</v>
      </c>
      <c r="B70" s="1">
        <v>10063</v>
      </c>
      <c r="C70" s="1" t="s">
        <v>146</v>
      </c>
      <c r="D70" s="1" t="s">
        <v>565</v>
      </c>
      <c r="E70" s="1" t="s">
        <v>53</v>
      </c>
      <c r="F70" s="1" t="str">
        <f>_xlfn.XLOOKUP('February 2025'!B70,'March 2025'!B:B,'March 2025'!F:F)</f>
        <v>Manufacturing</v>
      </c>
      <c r="G70" s="1">
        <v>11000</v>
      </c>
      <c r="H70" s="1">
        <v>11000</v>
      </c>
      <c r="I70" s="1">
        <v>0</v>
      </c>
      <c r="J70" s="1">
        <v>0</v>
      </c>
      <c r="K70" s="1" t="str">
        <f>_xlfn.XLOOKUP(C70,'March 2025'!C:C,'March 2025'!K:K)</f>
        <v>L-10</v>
      </c>
    </row>
    <row r="71" spans="1:11" x14ac:dyDescent="0.3">
      <c r="A71" s="1">
        <v>70</v>
      </c>
      <c r="B71" s="1">
        <v>10064</v>
      </c>
      <c r="C71" s="1" t="s">
        <v>147</v>
      </c>
      <c r="D71" s="1" t="s">
        <v>565</v>
      </c>
      <c r="E71" s="1" t="s">
        <v>35</v>
      </c>
      <c r="F71" s="1" t="str">
        <f>_xlfn.XLOOKUP(C71,'[1]February 2025'!$C:$C,'[1]February 2025'!$I:$I)</f>
        <v>Manufacturing</v>
      </c>
      <c r="G71" s="1">
        <v>13500</v>
      </c>
      <c r="H71" s="1">
        <v>13500</v>
      </c>
      <c r="I71" s="1">
        <v>0</v>
      </c>
      <c r="J71" s="1">
        <v>0</v>
      </c>
      <c r="K71" s="1" t="str">
        <f>_xlfn.XLOOKUP(C71,'March 2025'!C:C,'March 2025'!K:K)</f>
        <v>L-9</v>
      </c>
    </row>
    <row r="72" spans="1:11" x14ac:dyDescent="0.3">
      <c r="A72" s="1">
        <v>71</v>
      </c>
      <c r="B72" s="1">
        <v>10067</v>
      </c>
      <c r="C72" s="1" t="s">
        <v>40</v>
      </c>
      <c r="D72" s="1" t="s">
        <v>565</v>
      </c>
      <c r="E72" s="1" t="s">
        <v>61</v>
      </c>
      <c r="F72" s="1" t="str">
        <f>_xlfn.XLOOKUP(C72,'[1]February 2025'!$C:$C,'[1]February 2025'!$I:$I)</f>
        <v>Manufacturing</v>
      </c>
      <c r="G72" s="1">
        <v>11500</v>
      </c>
      <c r="H72" s="1">
        <v>11500</v>
      </c>
      <c r="I72" s="1">
        <v>0</v>
      </c>
      <c r="J72" s="1">
        <v>0</v>
      </c>
      <c r="K72" s="1" t="str">
        <f>_xlfn.XLOOKUP(C72,'March 2025'!C:C,'March 2025'!K:K)</f>
        <v>L-8</v>
      </c>
    </row>
    <row r="73" spans="1:11" x14ac:dyDescent="0.3">
      <c r="A73" s="1">
        <v>72</v>
      </c>
      <c r="B73" s="1">
        <v>10068</v>
      </c>
      <c r="C73" s="1" t="s">
        <v>150</v>
      </c>
      <c r="D73" s="1" t="s">
        <v>565</v>
      </c>
      <c r="E73" s="1" t="s">
        <v>53</v>
      </c>
      <c r="F73" s="1" t="str">
        <f>_xlfn.XLOOKUP(C73,'[1]February 2025'!$C:$C,'[1]February 2025'!$I:$I)</f>
        <v>Domestic</v>
      </c>
      <c r="G73" s="1">
        <v>12000</v>
      </c>
      <c r="H73" s="1">
        <v>12000</v>
      </c>
      <c r="I73" s="1">
        <v>0</v>
      </c>
      <c r="J73" s="1">
        <v>0</v>
      </c>
      <c r="K73" s="1" t="str">
        <f>_xlfn.XLOOKUP(C73,'March 2025'!C:C,'March 2025'!K:K)</f>
        <v>L-10</v>
      </c>
    </row>
    <row r="74" spans="1:11" x14ac:dyDescent="0.3">
      <c r="A74" s="1">
        <v>73</v>
      </c>
      <c r="B74" s="1">
        <v>10069</v>
      </c>
      <c r="C74" s="1" t="s">
        <v>151</v>
      </c>
      <c r="D74" s="1" t="s">
        <v>565</v>
      </c>
      <c r="E74" s="1" t="s">
        <v>35</v>
      </c>
      <c r="F74" s="1" t="str">
        <f>_xlfn.XLOOKUP('February 2025'!B74,'March 2025'!B:B,'March 2025'!F:F)</f>
        <v>Manufacturing</v>
      </c>
      <c r="G74" s="1">
        <v>13000</v>
      </c>
      <c r="H74" s="1">
        <v>13000</v>
      </c>
      <c r="I74" s="1">
        <v>0</v>
      </c>
      <c r="J74" s="1">
        <v>0</v>
      </c>
      <c r="K74" s="1" t="str">
        <f>_xlfn.XLOOKUP(C74,'March 2025'!C:C,'March 2025'!K:K)</f>
        <v>L-9</v>
      </c>
    </row>
    <row r="75" spans="1:11" x14ac:dyDescent="0.3">
      <c r="A75" s="1">
        <v>74</v>
      </c>
      <c r="B75" s="1">
        <v>10070</v>
      </c>
      <c r="C75" s="1" t="s">
        <v>152</v>
      </c>
      <c r="D75" s="1" t="s">
        <v>565</v>
      </c>
      <c r="E75" s="1" t="s">
        <v>35</v>
      </c>
      <c r="F75" s="1" t="str">
        <f>_xlfn.XLOOKUP('February 2025'!B75,'March 2025'!B:B,'March 2025'!F:F)</f>
        <v>Domestic</v>
      </c>
      <c r="G75" s="1">
        <v>13500</v>
      </c>
      <c r="H75" s="1">
        <v>13500</v>
      </c>
      <c r="I75" s="1">
        <v>0</v>
      </c>
      <c r="J75" s="1">
        <v>0</v>
      </c>
      <c r="K75" s="1" t="str">
        <f>_xlfn.XLOOKUP(C75,'March 2025'!C:C,'March 2025'!K:K)</f>
        <v>L-9</v>
      </c>
    </row>
    <row r="76" spans="1:11" x14ac:dyDescent="0.3">
      <c r="A76" s="1">
        <v>75</v>
      </c>
      <c r="B76" s="1">
        <v>10074</v>
      </c>
      <c r="C76" s="1" t="s">
        <v>95</v>
      </c>
      <c r="D76" s="1" t="s">
        <v>565</v>
      </c>
      <c r="E76" s="1" t="s">
        <v>53</v>
      </c>
      <c r="F76" s="1" t="str">
        <f>_xlfn.XLOOKUP(C76,'[1]February 2025'!$C:$C,'[1]February 2025'!$I:$I)</f>
        <v>Domestic</v>
      </c>
      <c r="G76" s="1">
        <v>11000</v>
      </c>
      <c r="H76" s="1">
        <v>11000</v>
      </c>
      <c r="I76" s="1">
        <v>0</v>
      </c>
      <c r="J76" s="1">
        <v>0</v>
      </c>
      <c r="K76" s="1" t="str">
        <f>_xlfn.XLOOKUP(C76,'March 2025'!C:C,'March 2025'!K:K)</f>
        <v>L-10</v>
      </c>
    </row>
    <row r="77" spans="1:11" x14ac:dyDescent="0.3">
      <c r="A77" s="1">
        <v>76</v>
      </c>
      <c r="B77" s="1">
        <v>10076</v>
      </c>
      <c r="C77" s="1" t="s">
        <v>157</v>
      </c>
      <c r="D77" s="1" t="s">
        <v>565</v>
      </c>
      <c r="E77" s="1" t="s">
        <v>61</v>
      </c>
      <c r="F77" s="1" t="str">
        <f>_xlfn.XLOOKUP('February 2025'!B77,'March 2025'!B:B,'March 2025'!F:F)</f>
        <v>Manufacturing</v>
      </c>
      <c r="G77" s="1">
        <v>12500</v>
      </c>
      <c r="H77" s="1">
        <v>12500</v>
      </c>
      <c r="I77" s="1">
        <v>0</v>
      </c>
      <c r="J77" s="1">
        <v>0</v>
      </c>
      <c r="K77" s="1" t="str">
        <f>_xlfn.XLOOKUP(C77,'March 2025'!C:C,'March 2025'!K:K)</f>
        <v>L-9</v>
      </c>
    </row>
    <row r="78" spans="1:11" x14ac:dyDescent="0.3">
      <c r="A78" s="1">
        <v>77</v>
      </c>
      <c r="B78" s="1">
        <v>10078</v>
      </c>
      <c r="C78" s="1" t="s">
        <v>159</v>
      </c>
      <c r="D78" s="1" t="s">
        <v>565</v>
      </c>
      <c r="E78" s="1" t="s">
        <v>12</v>
      </c>
      <c r="F78" s="1" t="str">
        <f>_xlfn.XLOOKUP('February 2025'!B78,'March 2025'!B:B,'March 2025'!F:F)</f>
        <v>Manufacturing</v>
      </c>
      <c r="G78" s="1">
        <v>19000</v>
      </c>
      <c r="H78" s="1">
        <v>19000</v>
      </c>
      <c r="I78" s="1">
        <v>0</v>
      </c>
      <c r="J78" s="1">
        <v>0</v>
      </c>
      <c r="K78" s="1" t="str">
        <f>_xlfn.XLOOKUP(C78,'March 2025'!C:C,'March 2025'!K:K)</f>
        <v>L-9</v>
      </c>
    </row>
    <row r="79" spans="1:11" x14ac:dyDescent="0.3">
      <c r="A79" s="1">
        <v>78</v>
      </c>
      <c r="B79" s="1">
        <v>10084</v>
      </c>
      <c r="C79" s="1" t="s">
        <v>165</v>
      </c>
      <c r="D79" s="1" t="s">
        <v>565</v>
      </c>
      <c r="E79" s="1" t="s">
        <v>35</v>
      </c>
      <c r="F79" s="1" t="str">
        <f>_xlfn.XLOOKUP('February 2025'!B79,'March 2025'!B:B,'March 2025'!F:F)</f>
        <v>Manufacturing</v>
      </c>
      <c r="G79" s="1">
        <v>12000</v>
      </c>
      <c r="H79" s="1">
        <v>12000</v>
      </c>
      <c r="I79" s="1">
        <v>0</v>
      </c>
      <c r="J79" s="1">
        <v>0</v>
      </c>
      <c r="K79" s="1" t="s">
        <v>556</v>
      </c>
    </row>
    <row r="80" spans="1:11" x14ac:dyDescent="0.3">
      <c r="A80" s="1">
        <v>79</v>
      </c>
      <c r="B80" s="1">
        <v>10088</v>
      </c>
      <c r="C80" s="1" t="s">
        <v>187</v>
      </c>
      <c r="D80" s="1" t="s">
        <v>565</v>
      </c>
      <c r="E80" s="1" t="s">
        <v>35</v>
      </c>
      <c r="F80" s="1" t="str">
        <f>_xlfn.XLOOKUP('February 2025'!B80,'March 2025'!B:B,'March 2025'!F:F)</f>
        <v>Manufacturing</v>
      </c>
      <c r="G80" s="1">
        <v>12500</v>
      </c>
      <c r="H80" s="1">
        <v>12500</v>
      </c>
      <c r="I80" s="1">
        <v>0</v>
      </c>
      <c r="J80" s="1">
        <v>0</v>
      </c>
      <c r="K80" s="1" t="s">
        <v>556</v>
      </c>
    </row>
    <row r="81" spans="1:11" x14ac:dyDescent="0.3">
      <c r="A81" s="1">
        <v>80</v>
      </c>
      <c r="B81" s="1">
        <v>50</v>
      </c>
      <c r="C81" s="1" t="s">
        <v>199</v>
      </c>
      <c r="D81" s="1" t="s">
        <v>564</v>
      </c>
      <c r="E81" s="1" t="s">
        <v>10</v>
      </c>
      <c r="F81" s="1" t="str">
        <f>_xlfn.XLOOKUP('February 2025'!B81,'March 2025'!B:B,'March 2025'!F:F)</f>
        <v>Manufacturing</v>
      </c>
      <c r="G81" s="1">
        <v>30000</v>
      </c>
      <c r="H81" s="1">
        <v>30000</v>
      </c>
      <c r="I81" s="1">
        <v>0</v>
      </c>
      <c r="J81" s="1">
        <v>0</v>
      </c>
      <c r="K81" s="1" t="str">
        <f>_xlfn.XLOOKUP(C81,'March 2025'!C:C,'March 2025'!K:K)</f>
        <v>L-6</v>
      </c>
    </row>
    <row r="82" spans="1:11" x14ac:dyDescent="0.3">
      <c r="A82" s="1">
        <v>81</v>
      </c>
      <c r="B82" s="1">
        <v>10092</v>
      </c>
      <c r="C82" s="1" t="s">
        <v>204</v>
      </c>
      <c r="D82" s="1" t="s">
        <v>565</v>
      </c>
      <c r="E82" s="1" t="s">
        <v>10</v>
      </c>
      <c r="F82" s="1" t="str">
        <f>_xlfn.XLOOKUP('February 2025'!B82,'March 2025'!B:B,'March 2025'!F:F)</f>
        <v>Manufacturing</v>
      </c>
      <c r="G82" s="1">
        <v>17000</v>
      </c>
      <c r="H82" s="1">
        <v>17000</v>
      </c>
      <c r="I82" s="1">
        <v>0</v>
      </c>
      <c r="J82" s="1">
        <v>0</v>
      </c>
      <c r="K82" s="1" t="str">
        <f>_xlfn.XLOOKUP(C82,'March 2025'!C:C,'March 2025'!K:K)</f>
        <v>L-8</v>
      </c>
    </row>
    <row r="83" spans="1:11" x14ac:dyDescent="0.3">
      <c r="A83" s="1">
        <v>82</v>
      </c>
      <c r="B83" s="1">
        <v>10093</v>
      </c>
      <c r="C83" s="1" t="s">
        <v>205</v>
      </c>
      <c r="D83" s="1" t="s">
        <v>565</v>
      </c>
      <c r="E83" s="1" t="s">
        <v>55</v>
      </c>
      <c r="F83" s="1" t="str">
        <f>_xlfn.XLOOKUP('February 2025'!B83,'March 2025'!B:B,'March 2025'!F:F)</f>
        <v>Manufacturing</v>
      </c>
      <c r="G83" s="1">
        <v>12500</v>
      </c>
      <c r="H83" s="1">
        <v>12500</v>
      </c>
      <c r="I83" s="1">
        <v>0</v>
      </c>
      <c r="J83" s="1">
        <v>0</v>
      </c>
      <c r="K83" s="1" t="str">
        <f>_xlfn.XLOOKUP(C83,'March 2025'!C:C,'March 2025'!K:K)</f>
        <v>L-7</v>
      </c>
    </row>
    <row r="84" spans="1:11" x14ac:dyDescent="0.3">
      <c r="A84" s="1">
        <v>83</v>
      </c>
      <c r="B84" s="1">
        <v>10094</v>
      </c>
      <c r="C84" s="1" t="s">
        <v>206</v>
      </c>
      <c r="D84" s="1" t="s">
        <v>565</v>
      </c>
      <c r="E84" s="1" t="s">
        <v>53</v>
      </c>
      <c r="F84" s="1" t="str">
        <f>_xlfn.XLOOKUP(C84,'[1]February 2025'!$C:$C,'[1]February 2025'!$I:$I)</f>
        <v>Domestic</v>
      </c>
      <c r="G84" s="1">
        <v>11000</v>
      </c>
      <c r="H84" s="1">
        <v>11000</v>
      </c>
      <c r="I84" s="1">
        <v>0</v>
      </c>
      <c r="J84" s="1">
        <v>0</v>
      </c>
      <c r="K84" s="1" t="s">
        <v>557</v>
      </c>
    </row>
    <row r="85" spans="1:11" x14ac:dyDescent="0.3">
      <c r="A85" s="1">
        <v>84</v>
      </c>
      <c r="B85" s="1">
        <v>51</v>
      </c>
      <c r="C85" s="1" t="s">
        <v>207</v>
      </c>
      <c r="D85" s="1" t="s">
        <v>564</v>
      </c>
      <c r="E85" s="1" t="s">
        <v>208</v>
      </c>
      <c r="F85" s="1" t="str">
        <f ca="1">_xlfn.XLOOKUP('February 2025'!B85,'March 2025'!B:B,'March 2025'!F:F)</f>
        <v>Manufacturing</v>
      </c>
      <c r="G85" s="1">
        <v>35000</v>
      </c>
      <c r="H85" s="1">
        <v>35000</v>
      </c>
      <c r="I85" s="1">
        <v>0</v>
      </c>
      <c r="J85" s="1">
        <v>0</v>
      </c>
      <c r="K85" s="1" t="s">
        <v>553</v>
      </c>
    </row>
    <row r="86" spans="1:11" x14ac:dyDescent="0.3">
      <c r="A86" s="1">
        <v>85</v>
      </c>
      <c r="B86" s="1">
        <v>52</v>
      </c>
      <c r="C86" s="1" t="s">
        <v>209</v>
      </c>
      <c r="D86" s="1" t="s">
        <v>564</v>
      </c>
      <c r="E86" s="1" t="s">
        <v>47</v>
      </c>
      <c r="F86" s="1" t="str">
        <f>_xlfn.XLOOKUP('February 2025'!B86,'March 2025'!B:B,'March 2025'!F:F)</f>
        <v>Domestic</v>
      </c>
      <c r="G86" s="1">
        <v>50050</v>
      </c>
      <c r="H86" s="1">
        <v>48250</v>
      </c>
      <c r="I86" s="1">
        <v>1950</v>
      </c>
      <c r="J86" s="1">
        <v>0</v>
      </c>
      <c r="K86" s="1" t="s">
        <v>553</v>
      </c>
    </row>
    <row r="87" spans="1:11" x14ac:dyDescent="0.3">
      <c r="A87" s="1">
        <v>86</v>
      </c>
      <c r="B87" s="1">
        <v>10096</v>
      </c>
      <c r="C87" s="1" t="s">
        <v>210</v>
      </c>
      <c r="D87" s="1" t="s">
        <v>565</v>
      </c>
      <c r="E87" s="1" t="s">
        <v>61</v>
      </c>
      <c r="F87" s="1" t="str">
        <f>_xlfn.XLOOKUP(C87,'[1]February 2025'!$C:$C,'[1]February 2025'!$I:$I)</f>
        <v>Manufacturing</v>
      </c>
      <c r="G87" s="1">
        <v>13000</v>
      </c>
      <c r="H87" s="1">
        <v>13000</v>
      </c>
      <c r="I87" s="1">
        <v>0</v>
      </c>
      <c r="J87" s="1">
        <v>0</v>
      </c>
      <c r="K87" s="1" t="str">
        <f>_xlfn.XLOOKUP(C87,'March 2025'!C:C,'March 2025'!K:K)</f>
        <v>L-9</v>
      </c>
    </row>
    <row r="88" spans="1:11" x14ac:dyDescent="0.3">
      <c r="A88" s="1">
        <v>87</v>
      </c>
      <c r="B88" s="1">
        <v>10097</v>
      </c>
      <c r="C88" s="1" t="s">
        <v>211</v>
      </c>
      <c r="D88" s="1" t="s">
        <v>565</v>
      </c>
      <c r="E88" s="1" t="s">
        <v>53</v>
      </c>
      <c r="F88" s="1" t="str">
        <f>_xlfn.XLOOKUP('February 2025'!B88,'March 2025'!B:B,'March 2025'!F:F)</f>
        <v>Manufacturing</v>
      </c>
      <c r="G88" s="1">
        <v>12000</v>
      </c>
      <c r="H88" s="1">
        <v>12000</v>
      </c>
      <c r="I88" s="1">
        <v>0</v>
      </c>
      <c r="J88" s="1">
        <v>0</v>
      </c>
      <c r="K88" s="1" t="str">
        <f>_xlfn.XLOOKUP(C88,'March 2025'!C:C,'March 2025'!K:K)</f>
        <v>L-10</v>
      </c>
    </row>
    <row r="89" spans="1:11" x14ac:dyDescent="0.3">
      <c r="A89" s="1">
        <v>88</v>
      </c>
      <c r="B89" s="1">
        <v>10099</v>
      </c>
      <c r="C89" s="1" t="s">
        <v>212</v>
      </c>
      <c r="D89" s="1" t="s">
        <v>565</v>
      </c>
      <c r="E89" s="1" t="s">
        <v>53</v>
      </c>
      <c r="F89" s="1" t="str">
        <f>_xlfn.XLOOKUP('February 2025'!B89,'March 2025'!B:B,'March 2025'!F:F)</f>
        <v>Manufacturing</v>
      </c>
      <c r="G89" s="1">
        <v>11000</v>
      </c>
      <c r="H89" s="1">
        <v>11000</v>
      </c>
      <c r="I89" s="1">
        <v>0</v>
      </c>
      <c r="J89" s="1">
        <v>0</v>
      </c>
      <c r="K89" s="1" t="str">
        <f>_xlfn.XLOOKUP(C89,'March 2025'!C:C,'March 2025'!K:K)</f>
        <v>L-10</v>
      </c>
    </row>
    <row r="90" spans="1:11" x14ac:dyDescent="0.3">
      <c r="A90" s="1">
        <v>89</v>
      </c>
      <c r="B90" s="1">
        <v>10101</v>
      </c>
      <c r="C90" s="1" t="s">
        <v>215</v>
      </c>
      <c r="D90" s="1" t="s">
        <v>565</v>
      </c>
      <c r="E90" s="1" t="s">
        <v>35</v>
      </c>
      <c r="F90" s="1" t="str">
        <f>_xlfn.XLOOKUP('February 2025'!B90,'March 2025'!B:B,'March 2025'!F:F)</f>
        <v>Manufacturing</v>
      </c>
      <c r="G90" s="1">
        <v>11500</v>
      </c>
      <c r="H90" s="1">
        <v>11500</v>
      </c>
      <c r="I90" s="1">
        <v>0</v>
      </c>
      <c r="J90" s="1">
        <v>0</v>
      </c>
      <c r="K90" s="1" t="str">
        <f>_xlfn.XLOOKUP(C90,'March 2025'!C:C,'March 2025'!K:K)</f>
        <v>L-9</v>
      </c>
    </row>
    <row r="91" spans="1:11" x14ac:dyDescent="0.3">
      <c r="A91" s="1">
        <v>90</v>
      </c>
      <c r="B91" s="1">
        <v>54</v>
      </c>
      <c r="C91" s="1" t="s">
        <v>217</v>
      </c>
      <c r="D91" s="1" t="s">
        <v>564</v>
      </c>
      <c r="E91" s="1" t="s">
        <v>67</v>
      </c>
      <c r="F91" s="1" t="str">
        <f>_xlfn.XLOOKUP('February 2025'!B91,'March 2025'!B:B,'March 2025'!F:F)</f>
        <v>Manufacturing</v>
      </c>
      <c r="G91" s="1">
        <v>30000</v>
      </c>
      <c r="H91" s="1">
        <v>30000</v>
      </c>
      <c r="I91" s="1">
        <v>0</v>
      </c>
      <c r="J91" s="1">
        <v>0</v>
      </c>
      <c r="K91" s="1" t="str">
        <f>_xlfn.XLOOKUP(C91,'March 2025'!C:C,'March 2025'!K:K)</f>
        <v>L-9</v>
      </c>
    </row>
    <row r="92" spans="1:11" x14ac:dyDescent="0.3">
      <c r="A92" s="1">
        <v>91</v>
      </c>
      <c r="B92" s="1">
        <v>55</v>
      </c>
      <c r="C92" s="1" t="s">
        <v>218</v>
      </c>
      <c r="D92" s="1" t="s">
        <v>564</v>
      </c>
      <c r="E92" s="1" t="s">
        <v>67</v>
      </c>
      <c r="F92" s="1" t="str">
        <f>_xlfn.XLOOKUP('February 2025'!B92,'March 2025'!B:B,'March 2025'!F:F)</f>
        <v>Manufacturing</v>
      </c>
      <c r="G92" s="1">
        <v>30000</v>
      </c>
      <c r="H92" s="1">
        <v>30000</v>
      </c>
      <c r="I92" s="1">
        <v>0</v>
      </c>
      <c r="J92" s="1">
        <v>0</v>
      </c>
      <c r="K92" s="1" t="str">
        <f>_xlfn.XLOOKUP(C92,'March 2025'!C:C,'March 2025'!K:K)</f>
        <v>L-9</v>
      </c>
    </row>
    <row r="93" spans="1:11" x14ac:dyDescent="0.3">
      <c r="A93" s="1">
        <v>92</v>
      </c>
      <c r="B93" s="1">
        <v>56</v>
      </c>
      <c r="C93" s="1" t="s">
        <v>219</v>
      </c>
      <c r="D93" s="1" t="s">
        <v>564</v>
      </c>
      <c r="E93" s="1" t="s">
        <v>67</v>
      </c>
      <c r="F93" s="1" t="str">
        <f>_xlfn.XLOOKUP('February 2025'!B93,'March 2025'!B:B,'March 2025'!F:F)</f>
        <v>Domestic</v>
      </c>
      <c r="G93" s="1">
        <v>30000</v>
      </c>
      <c r="H93" s="1">
        <v>30000</v>
      </c>
      <c r="I93" s="1">
        <v>0</v>
      </c>
      <c r="J93" s="1">
        <v>0</v>
      </c>
      <c r="K93" s="1" t="str">
        <f>_xlfn.XLOOKUP(C93,'March 2025'!C:C,'March 2025'!K:K)</f>
        <v>L-9</v>
      </c>
    </row>
    <row r="94" spans="1:11" x14ac:dyDescent="0.3">
      <c r="A94" s="1">
        <v>93</v>
      </c>
      <c r="B94" s="1">
        <v>57</v>
      </c>
      <c r="C94" s="1" t="s">
        <v>220</v>
      </c>
      <c r="D94" s="1" t="s">
        <v>564</v>
      </c>
      <c r="E94" s="1" t="s">
        <v>42</v>
      </c>
      <c r="F94" s="1" t="str">
        <f>_xlfn.XLOOKUP('February 2025'!B94,'March 2025'!B:B,'March 2025'!F:F)</f>
        <v>Manufacturing</v>
      </c>
      <c r="G94" s="1">
        <v>48600</v>
      </c>
      <c r="H94" s="1">
        <v>46800</v>
      </c>
      <c r="I94" s="1">
        <v>1950</v>
      </c>
      <c r="J94" s="1">
        <v>0</v>
      </c>
      <c r="K94" s="1" t="str">
        <f>_xlfn.XLOOKUP(C94,'March 2025'!C:C,'March 2025'!K:K)</f>
        <v>L-6</v>
      </c>
    </row>
    <row r="95" spans="1:11" x14ac:dyDescent="0.3">
      <c r="A95" s="1">
        <v>94</v>
      </c>
      <c r="B95" s="1">
        <v>58</v>
      </c>
      <c r="C95" s="1" t="s">
        <v>221</v>
      </c>
      <c r="D95" s="1" t="s">
        <v>566</v>
      </c>
      <c r="E95" s="1" t="s">
        <v>10</v>
      </c>
      <c r="F95" s="1" t="str">
        <f ca="1">_xlfn.XLOOKUP('February 2025'!B95,'March 2025'!B:B,'March 2025'!F:F)</f>
        <v>Manufacturing</v>
      </c>
      <c r="G95" s="1">
        <v>17000</v>
      </c>
      <c r="H95" s="1">
        <v>15852</v>
      </c>
      <c r="I95" s="1">
        <v>1105</v>
      </c>
      <c r="J95" s="1">
        <v>553</v>
      </c>
      <c r="K95" s="1" t="s">
        <v>555</v>
      </c>
    </row>
    <row r="96" spans="1:11" x14ac:dyDescent="0.3">
      <c r="A96" s="1">
        <v>95</v>
      </c>
      <c r="B96" s="1">
        <v>10103</v>
      </c>
      <c r="C96" s="1" t="s">
        <v>222</v>
      </c>
      <c r="D96" s="1" t="s">
        <v>565</v>
      </c>
      <c r="E96" s="1" t="s">
        <v>35</v>
      </c>
      <c r="F96" s="1" t="str">
        <f>_xlfn.XLOOKUP('February 2025'!B96,'March 2025'!B:B,'March 2025'!F:F)</f>
        <v>Manufacturing</v>
      </c>
      <c r="G96" s="1">
        <v>12500</v>
      </c>
      <c r="H96" s="1">
        <v>12500</v>
      </c>
      <c r="I96" s="1">
        <v>0</v>
      </c>
      <c r="J96" s="1">
        <v>0</v>
      </c>
      <c r="K96" s="1" t="str">
        <f>_xlfn.XLOOKUP(C96,'March 2025'!C:C,'March 2025'!K:K)</f>
        <v>L-9</v>
      </c>
    </row>
    <row r="97" spans="1:11" x14ac:dyDescent="0.3">
      <c r="A97" s="1">
        <v>96</v>
      </c>
      <c r="B97" s="1">
        <v>10104</v>
      </c>
      <c r="C97" s="1" t="s">
        <v>223</v>
      </c>
      <c r="D97" s="1" t="s">
        <v>565</v>
      </c>
      <c r="E97" s="1" t="s">
        <v>35</v>
      </c>
      <c r="F97" s="1" t="str">
        <f>_xlfn.XLOOKUP('February 2025'!B97,'March 2025'!B:B,'March 2025'!F:F)</f>
        <v>Manufacturing</v>
      </c>
      <c r="G97" s="1">
        <v>13500</v>
      </c>
      <c r="H97" s="1">
        <v>13500</v>
      </c>
      <c r="I97" s="1">
        <v>0</v>
      </c>
      <c r="J97" s="1">
        <v>0</v>
      </c>
      <c r="K97" s="1" t="str">
        <f>_xlfn.XLOOKUP(C97,'March 2025'!C:C,'March 2025'!K:K)</f>
        <v>L-9</v>
      </c>
    </row>
    <row r="98" spans="1:11" x14ac:dyDescent="0.3">
      <c r="A98" s="1">
        <v>97</v>
      </c>
      <c r="B98" s="1">
        <v>10107</v>
      </c>
      <c r="C98" s="1" t="s">
        <v>225</v>
      </c>
      <c r="D98" s="1" t="s">
        <v>565</v>
      </c>
      <c r="E98" s="1" t="s">
        <v>12</v>
      </c>
      <c r="F98" s="1" t="str">
        <f>_xlfn.XLOOKUP(C98,'[1]February 2025'!$C:$C,'[1]February 2025'!$I:$I)</f>
        <v>Manufacturing</v>
      </c>
      <c r="G98" s="1">
        <v>13000</v>
      </c>
      <c r="H98" s="1">
        <v>13000</v>
      </c>
      <c r="I98" s="1">
        <v>0</v>
      </c>
      <c r="J98" s="1">
        <v>0</v>
      </c>
      <c r="K98" s="1" t="str">
        <f>_xlfn.XLOOKUP(C98,'March 2025'!C:C,'March 2025'!K:K)</f>
        <v>L-9</v>
      </c>
    </row>
    <row r="99" spans="1:11" x14ac:dyDescent="0.3">
      <c r="A99" s="1">
        <v>98</v>
      </c>
      <c r="B99" s="1">
        <v>10109</v>
      </c>
      <c r="C99" s="1" t="s">
        <v>227</v>
      </c>
      <c r="D99" s="1" t="s">
        <v>565</v>
      </c>
      <c r="E99" s="1" t="s">
        <v>35</v>
      </c>
      <c r="F99" s="1" t="str">
        <f>_xlfn.XLOOKUP('February 2025'!B99,'March 2025'!B:B,'March 2025'!F:F)</f>
        <v>Manufacturing</v>
      </c>
      <c r="G99" s="1">
        <v>11500</v>
      </c>
      <c r="H99" s="1">
        <v>11500</v>
      </c>
      <c r="I99" s="1">
        <v>0</v>
      </c>
      <c r="J99" s="1">
        <v>0</v>
      </c>
      <c r="K99" s="1" t="str">
        <f>_xlfn.XLOOKUP(C99,'March 2025'!C:C,'March 2025'!K:K)</f>
        <v>L-9</v>
      </c>
    </row>
    <row r="100" spans="1:11" x14ac:dyDescent="0.3">
      <c r="A100" s="1">
        <v>99</v>
      </c>
      <c r="B100" s="1">
        <v>10110</v>
      </c>
      <c r="C100" s="1" t="s">
        <v>228</v>
      </c>
      <c r="D100" s="1" t="s">
        <v>565</v>
      </c>
      <c r="E100" s="1" t="s">
        <v>61</v>
      </c>
      <c r="F100" s="1" t="str">
        <f>_xlfn.XLOOKUP('February 2025'!B100,'March 2025'!B:B,'March 2025'!F:F)</f>
        <v>Manufacturing</v>
      </c>
      <c r="G100" s="1">
        <v>11500</v>
      </c>
      <c r="H100" s="1">
        <v>11500</v>
      </c>
      <c r="I100" s="1">
        <v>0</v>
      </c>
      <c r="J100" s="1">
        <v>0</v>
      </c>
      <c r="K100" s="1" t="str">
        <f>_xlfn.XLOOKUP(C100,'March 2025'!C:C,'March 2025'!K:K)</f>
        <v>L-9</v>
      </c>
    </row>
    <row r="101" spans="1:11" x14ac:dyDescent="0.3">
      <c r="A101" s="1">
        <v>100</v>
      </c>
      <c r="B101" s="1">
        <v>10111</v>
      </c>
      <c r="C101" s="1" t="s">
        <v>229</v>
      </c>
      <c r="D101" s="1" t="s">
        <v>565</v>
      </c>
      <c r="E101" s="1" t="s">
        <v>61</v>
      </c>
      <c r="F101" s="1" t="str">
        <f>_xlfn.XLOOKUP('February 2025'!B101,'March 2025'!B:B,'March 2025'!F:F)</f>
        <v>Manufacturing</v>
      </c>
      <c r="G101" s="1">
        <v>12500</v>
      </c>
      <c r="H101" s="1">
        <v>12500</v>
      </c>
      <c r="I101" s="1">
        <v>0</v>
      </c>
      <c r="J101" s="1">
        <v>0</v>
      </c>
      <c r="K101" s="1" t="str">
        <f>_xlfn.XLOOKUP(C101,'March 2025'!C:C,'March 2025'!K:K)</f>
        <v>L-9</v>
      </c>
    </row>
    <row r="102" spans="1:11" x14ac:dyDescent="0.3">
      <c r="A102" s="1">
        <v>101</v>
      </c>
      <c r="B102" s="1">
        <v>10112</v>
      </c>
      <c r="C102" s="1" t="s">
        <v>230</v>
      </c>
      <c r="D102" s="1" t="s">
        <v>565</v>
      </c>
      <c r="E102" s="1" t="s">
        <v>35</v>
      </c>
      <c r="F102" s="1" t="str">
        <f>_xlfn.XLOOKUP('February 2025'!B102,'March 2025'!B:B,'March 2025'!F:F)</f>
        <v>Manufacturing</v>
      </c>
      <c r="G102" s="1">
        <v>11000</v>
      </c>
      <c r="H102" s="1">
        <v>11000</v>
      </c>
      <c r="I102" s="1">
        <v>0</v>
      </c>
      <c r="J102" s="1">
        <v>0</v>
      </c>
      <c r="K102" s="1" t="str">
        <f>_xlfn.XLOOKUP(C102,'March 2025'!C:C,'March 2025'!K:K)</f>
        <v>L-9</v>
      </c>
    </row>
    <row r="103" spans="1:11" x14ac:dyDescent="0.3">
      <c r="A103" s="1">
        <v>102</v>
      </c>
      <c r="B103" s="1">
        <v>10113</v>
      </c>
      <c r="C103" s="1" t="s">
        <v>231</v>
      </c>
      <c r="D103" s="1" t="s">
        <v>565</v>
      </c>
      <c r="E103" s="1" t="s">
        <v>53</v>
      </c>
      <c r="F103" s="1" t="str">
        <f>_xlfn.XLOOKUP('February 2025'!B103,'March 2025'!B:B,'March 2025'!F:F)</f>
        <v>Domestic</v>
      </c>
      <c r="G103" s="1">
        <v>12000</v>
      </c>
      <c r="H103" s="1">
        <v>12000</v>
      </c>
      <c r="I103" s="1">
        <v>0</v>
      </c>
      <c r="J103" s="1">
        <v>0</v>
      </c>
      <c r="K103" s="1" t="s">
        <v>557</v>
      </c>
    </row>
    <row r="104" spans="1:11" x14ac:dyDescent="0.3">
      <c r="A104" s="1">
        <v>103</v>
      </c>
      <c r="B104" s="1">
        <v>10114</v>
      </c>
      <c r="C104" s="1" t="s">
        <v>232</v>
      </c>
      <c r="D104" s="1" t="s">
        <v>565</v>
      </c>
      <c r="E104" s="1" t="s">
        <v>10</v>
      </c>
      <c r="F104" s="1" t="str">
        <f>_xlfn.XLOOKUP(C104,'[1]February 2025'!$C:$C,'[1]February 2025'!$I:$I)</f>
        <v>Domestic</v>
      </c>
      <c r="G104" s="1">
        <v>13500</v>
      </c>
      <c r="H104" s="1">
        <v>13500</v>
      </c>
      <c r="I104" s="1">
        <v>0</v>
      </c>
      <c r="J104" s="1">
        <v>0</v>
      </c>
      <c r="K104" s="1" t="str">
        <f>_xlfn.XLOOKUP(C104,'March 2025'!C:C,'March 2025'!K:K)</f>
        <v>L-8</v>
      </c>
    </row>
    <row r="105" spans="1:11" x14ac:dyDescent="0.3">
      <c r="A105" s="1">
        <v>104</v>
      </c>
      <c r="B105" s="1">
        <v>59</v>
      </c>
      <c r="C105" s="1" t="s">
        <v>233</v>
      </c>
      <c r="D105" s="1" t="s">
        <v>564</v>
      </c>
      <c r="E105" s="1" t="s">
        <v>42</v>
      </c>
      <c r="F105" s="1" t="str">
        <f>_xlfn.XLOOKUP(C105,'[1]February 2025'!$C:$C,'[1]February 2025'!$I:$I)</f>
        <v>Manufacturing</v>
      </c>
      <c r="G105" s="1">
        <v>50000</v>
      </c>
      <c r="H105" s="1">
        <v>50000</v>
      </c>
      <c r="I105" s="1">
        <v>0</v>
      </c>
      <c r="J105" s="1">
        <v>0</v>
      </c>
      <c r="K105" s="1" t="str">
        <f>_xlfn.XLOOKUP(C105,'March 2025'!C:C,'March 2025'!K:K)</f>
        <v>L-5</v>
      </c>
    </row>
    <row r="106" spans="1:11" x14ac:dyDescent="0.3">
      <c r="A106" s="1">
        <v>105</v>
      </c>
      <c r="B106" s="1">
        <v>60</v>
      </c>
      <c r="C106" s="1" t="s">
        <v>234</v>
      </c>
      <c r="D106" s="1" t="s">
        <v>564</v>
      </c>
      <c r="E106" s="1" t="s">
        <v>235</v>
      </c>
      <c r="F106" s="1" t="str">
        <f>_xlfn.XLOOKUP('February 2025'!B106,'March 2025'!B:B,'March 2025'!F:F)</f>
        <v>Manufacturing</v>
      </c>
      <c r="G106" s="1">
        <v>25000</v>
      </c>
      <c r="H106" s="1">
        <v>25000</v>
      </c>
      <c r="I106" s="1">
        <v>0</v>
      </c>
      <c r="J106" s="1">
        <v>0</v>
      </c>
      <c r="K106" s="1" t="s">
        <v>556</v>
      </c>
    </row>
    <row r="107" spans="1:11" x14ac:dyDescent="0.3">
      <c r="A107" s="1">
        <v>106</v>
      </c>
      <c r="B107" s="1">
        <v>10115</v>
      </c>
      <c r="C107" s="1" t="s">
        <v>236</v>
      </c>
      <c r="D107" s="1" t="s">
        <v>565</v>
      </c>
      <c r="E107" s="1" t="s">
        <v>35</v>
      </c>
      <c r="F107" s="1" t="str">
        <f>_xlfn.XLOOKUP('February 2025'!B107,'March 2025'!B:B,'March 2025'!F:F)</f>
        <v>Manufacturing</v>
      </c>
      <c r="G107" s="1">
        <v>12500</v>
      </c>
      <c r="H107" s="1">
        <v>12500</v>
      </c>
      <c r="I107" s="1">
        <v>0</v>
      </c>
      <c r="J107" s="1">
        <v>0</v>
      </c>
      <c r="K107" s="1" t="str">
        <f>_xlfn.XLOOKUP(C107,'March 2025'!C:C,'March 2025'!K:K)</f>
        <v>L-9</v>
      </c>
    </row>
    <row r="108" spans="1:11" x14ac:dyDescent="0.3">
      <c r="A108" s="1">
        <v>107</v>
      </c>
      <c r="B108" s="1">
        <v>10117</v>
      </c>
      <c r="C108" s="1" t="s">
        <v>238</v>
      </c>
      <c r="D108" s="1" t="s">
        <v>565</v>
      </c>
      <c r="E108" s="1" t="s">
        <v>35</v>
      </c>
      <c r="F108" s="1" t="str">
        <f>_xlfn.XLOOKUP('February 2025'!B108,'March 2025'!B:B,'March 2025'!F:F)</f>
        <v>Manufacturing</v>
      </c>
      <c r="G108" s="1">
        <v>11500</v>
      </c>
      <c r="H108" s="1">
        <v>11500</v>
      </c>
      <c r="I108" s="1">
        <v>0</v>
      </c>
      <c r="J108" s="1">
        <v>0</v>
      </c>
      <c r="K108" s="1" t="str">
        <f>_xlfn.XLOOKUP(C108,'March 2025'!C:C,'March 2025'!K:K)</f>
        <v>L-9</v>
      </c>
    </row>
    <row r="109" spans="1:11" x14ac:dyDescent="0.3">
      <c r="A109" s="1">
        <v>108</v>
      </c>
      <c r="B109" s="1">
        <v>10118</v>
      </c>
      <c r="C109" s="1" t="s">
        <v>80</v>
      </c>
      <c r="D109" s="1" t="s">
        <v>565</v>
      </c>
      <c r="E109" s="1" t="s">
        <v>53</v>
      </c>
      <c r="F109" s="1" t="str">
        <f>_xlfn.XLOOKUP(C109,'[1]February 2025'!$C:$C,'[1]February 2025'!$I:$I)</f>
        <v>Domestic</v>
      </c>
      <c r="G109" s="1">
        <v>11000</v>
      </c>
      <c r="H109" s="1">
        <v>11000</v>
      </c>
      <c r="I109" s="1">
        <v>0</v>
      </c>
      <c r="J109" s="1">
        <v>0</v>
      </c>
      <c r="K109" s="1" t="str">
        <f>_xlfn.XLOOKUP(C109,'March 2025'!C:C,'March 2025'!K:K)</f>
        <v>L-10</v>
      </c>
    </row>
    <row r="110" spans="1:11" x14ac:dyDescent="0.3">
      <c r="A110" s="1">
        <v>109</v>
      </c>
      <c r="B110" s="1">
        <v>10119</v>
      </c>
      <c r="C110" s="1" t="s">
        <v>239</v>
      </c>
      <c r="D110" s="1" t="s">
        <v>565</v>
      </c>
      <c r="E110" s="1" t="s">
        <v>53</v>
      </c>
      <c r="F110" s="1" t="str">
        <f ca="1">_xlfn.XLOOKUP('February 2025'!B110,'March 2025'!B:B,'March 2025'!F:F)</f>
        <v>Manufacturing</v>
      </c>
      <c r="G110" s="1">
        <v>11000</v>
      </c>
      <c r="H110" s="1">
        <v>11000</v>
      </c>
      <c r="I110" s="1">
        <v>0</v>
      </c>
      <c r="J110" s="1">
        <v>0</v>
      </c>
      <c r="K110" s="1" t="s">
        <v>557</v>
      </c>
    </row>
    <row r="111" spans="1:11" x14ac:dyDescent="0.3">
      <c r="A111" s="1">
        <v>110</v>
      </c>
      <c r="B111" s="1">
        <v>10120</v>
      </c>
      <c r="C111" s="1" t="s">
        <v>240</v>
      </c>
      <c r="D111" s="1" t="s">
        <v>565</v>
      </c>
      <c r="E111" s="1" t="s">
        <v>61</v>
      </c>
      <c r="F111" s="1" t="str">
        <f ca="1">_xlfn.XLOOKUP('February 2025'!B111,'March 2025'!B:B,'March 2025'!F:F)</f>
        <v>Manufacturing</v>
      </c>
      <c r="G111" s="1">
        <v>13000</v>
      </c>
      <c r="H111" s="1">
        <v>13000</v>
      </c>
      <c r="I111" s="1">
        <v>0</v>
      </c>
      <c r="J111" s="1">
        <v>0</v>
      </c>
      <c r="K111" s="1" t="s">
        <v>556</v>
      </c>
    </row>
    <row r="112" spans="1:11" x14ac:dyDescent="0.3">
      <c r="A112" s="1">
        <v>111</v>
      </c>
      <c r="B112" s="1">
        <v>10121</v>
      </c>
      <c r="C112" s="1" t="s">
        <v>241</v>
      </c>
      <c r="D112" s="1" t="s">
        <v>565</v>
      </c>
      <c r="E112" s="1" t="s">
        <v>53</v>
      </c>
      <c r="F112" s="1" t="str">
        <f>_xlfn.XLOOKUP('February 2025'!B112,'March 2025'!B:B,'March 2025'!F:F)</f>
        <v>Manufacturing</v>
      </c>
      <c r="G112" s="1">
        <v>11500</v>
      </c>
      <c r="H112" s="1">
        <v>11500</v>
      </c>
      <c r="I112" s="1">
        <v>0</v>
      </c>
      <c r="J112" s="1">
        <v>0</v>
      </c>
      <c r="K112" s="1" t="str">
        <f>_xlfn.XLOOKUP(C112,'March 2025'!C:C,'March 2025'!K:K)</f>
        <v>L-10</v>
      </c>
    </row>
    <row r="113" spans="1:11" x14ac:dyDescent="0.3">
      <c r="A113" s="1">
        <v>112</v>
      </c>
      <c r="B113" s="1">
        <v>10122</v>
      </c>
      <c r="C113" s="1" t="s">
        <v>242</v>
      </c>
      <c r="D113" s="1" t="s">
        <v>565</v>
      </c>
      <c r="E113" s="1" t="s">
        <v>61</v>
      </c>
      <c r="F113" s="1" t="str">
        <f ca="1">_xlfn.XLOOKUP('February 2025'!B113,'March 2025'!B:B,'March 2025'!F:F)</f>
        <v>Manufacturing</v>
      </c>
      <c r="G113" s="1">
        <v>13000</v>
      </c>
      <c r="H113" s="1">
        <v>13000</v>
      </c>
      <c r="I113" s="1">
        <v>0</v>
      </c>
      <c r="J113" s="1">
        <v>0</v>
      </c>
      <c r="K113" s="1" t="s">
        <v>556</v>
      </c>
    </row>
    <row r="114" spans="1:11" x14ac:dyDescent="0.3">
      <c r="A114" s="1">
        <v>113</v>
      </c>
      <c r="B114" s="1">
        <v>10123</v>
      </c>
      <c r="C114" s="1" t="s">
        <v>243</v>
      </c>
      <c r="D114" s="1" t="s">
        <v>565</v>
      </c>
      <c r="E114" s="1" t="s">
        <v>53</v>
      </c>
      <c r="F114" s="1" t="str">
        <f>_xlfn.XLOOKUP('February 2025'!B114,'March 2025'!B:B,'March 2025'!F:F)</f>
        <v>Manufacturing</v>
      </c>
      <c r="G114" s="1">
        <v>12000</v>
      </c>
      <c r="H114" s="1">
        <v>12000</v>
      </c>
      <c r="I114" s="1">
        <v>0</v>
      </c>
      <c r="J114" s="1">
        <v>0</v>
      </c>
      <c r="K114" s="1" t="str">
        <f>_xlfn.XLOOKUP(C114,'March 2025'!C:C,'March 2025'!K:K)</f>
        <v>L-9</v>
      </c>
    </row>
    <row r="115" spans="1:11" x14ac:dyDescent="0.3">
      <c r="A115" s="1">
        <v>114</v>
      </c>
      <c r="B115" s="1">
        <v>10124</v>
      </c>
      <c r="C115" s="1" t="s">
        <v>244</v>
      </c>
      <c r="D115" s="1" t="s">
        <v>565</v>
      </c>
      <c r="E115" s="1" t="s">
        <v>35</v>
      </c>
      <c r="F115" s="1" t="str">
        <f>_xlfn.XLOOKUP(C115,'[1]February 2025'!$C:$C,'[1]February 2025'!$I:$I)</f>
        <v>Manufacturing</v>
      </c>
      <c r="G115" s="1">
        <v>14000</v>
      </c>
      <c r="H115" s="1">
        <v>14000</v>
      </c>
      <c r="I115" s="1">
        <v>0</v>
      </c>
      <c r="J115" s="1">
        <v>0</v>
      </c>
      <c r="K115" s="1" t="str">
        <f>_xlfn.XLOOKUP(C115,'March 2025'!C:C,'March 2025'!K:K)</f>
        <v>L-9</v>
      </c>
    </row>
    <row r="116" spans="1:11" x14ac:dyDescent="0.3">
      <c r="A116" s="1">
        <v>115</v>
      </c>
      <c r="B116" s="1">
        <v>10125</v>
      </c>
      <c r="C116" s="1" t="s">
        <v>245</v>
      </c>
      <c r="D116" s="1" t="s">
        <v>565</v>
      </c>
      <c r="E116" s="1" t="s">
        <v>35</v>
      </c>
      <c r="F116" s="1" t="str">
        <f>_xlfn.XLOOKUP('February 2025'!B116,'March 2025'!B:B,'March 2025'!F:F)</f>
        <v>Manufacturing</v>
      </c>
      <c r="G116" s="1">
        <v>14000</v>
      </c>
      <c r="H116" s="1">
        <v>14000</v>
      </c>
      <c r="I116" s="1">
        <v>0</v>
      </c>
      <c r="J116" s="1">
        <v>0</v>
      </c>
      <c r="K116" s="1" t="str">
        <f>_xlfn.XLOOKUP(C116,'March 2025'!C:C,'March 2025'!K:K)</f>
        <v>L-10</v>
      </c>
    </row>
    <row r="117" spans="1:11" x14ac:dyDescent="0.3">
      <c r="A117" s="1">
        <v>116</v>
      </c>
      <c r="B117" s="1">
        <v>10126</v>
      </c>
      <c r="C117" s="1" t="s">
        <v>246</v>
      </c>
      <c r="D117" s="1" t="s">
        <v>565</v>
      </c>
      <c r="E117" s="1" t="s">
        <v>35</v>
      </c>
      <c r="F117" s="1" t="str">
        <f ca="1">_xlfn.XLOOKUP('February 2025'!B117,'March 2025'!B:B,'March 2025'!F:F)</f>
        <v>D2C</v>
      </c>
      <c r="G117" s="1">
        <v>14000</v>
      </c>
      <c r="H117" s="1">
        <v>14000</v>
      </c>
      <c r="I117" s="1">
        <v>0</v>
      </c>
      <c r="J117" s="1">
        <v>0</v>
      </c>
      <c r="K117" s="1" t="s">
        <v>556</v>
      </c>
    </row>
    <row r="118" spans="1:11" x14ac:dyDescent="0.3">
      <c r="A118" s="1">
        <v>117</v>
      </c>
      <c r="B118" s="1">
        <v>10127</v>
      </c>
      <c r="C118" s="1" t="s">
        <v>247</v>
      </c>
      <c r="D118" s="1" t="s">
        <v>565</v>
      </c>
      <c r="E118" s="1" t="s">
        <v>35</v>
      </c>
      <c r="F118" s="1" t="str">
        <f>_xlfn.XLOOKUP('February 2025'!B118,'March 2025'!B:B,'March 2025'!F:F)</f>
        <v>Manufacturing</v>
      </c>
      <c r="G118" s="1">
        <v>14000</v>
      </c>
      <c r="H118" s="1">
        <v>14000</v>
      </c>
      <c r="I118" s="1">
        <v>0</v>
      </c>
      <c r="J118" s="1">
        <v>0</v>
      </c>
      <c r="K118" s="1" t="str">
        <f>_xlfn.XLOOKUP(C118,'March 2025'!C:C,'March 2025'!K:K)</f>
        <v>L-9</v>
      </c>
    </row>
    <row r="119" spans="1:11" x14ac:dyDescent="0.3">
      <c r="A119" s="1">
        <v>118</v>
      </c>
      <c r="B119" s="1">
        <v>10128</v>
      </c>
      <c r="C119" s="1" t="s">
        <v>248</v>
      </c>
      <c r="D119" s="1" t="s">
        <v>565</v>
      </c>
      <c r="E119" s="1" t="s">
        <v>35</v>
      </c>
      <c r="F119" s="1" t="str">
        <f>_xlfn.XLOOKUP('February 2025'!B119,'March 2025'!B:B,'March 2025'!F:F)</f>
        <v>Manufacturing</v>
      </c>
      <c r="G119" s="1">
        <v>14000</v>
      </c>
      <c r="H119" s="1">
        <v>14000</v>
      </c>
      <c r="I119" s="1">
        <v>0</v>
      </c>
      <c r="J119" s="1">
        <v>0</v>
      </c>
      <c r="K119" s="1" t="str">
        <f>_xlfn.XLOOKUP(C119,'March 2025'!C:C,'March 2025'!K:K)</f>
        <v>L-9</v>
      </c>
    </row>
    <row r="120" spans="1:11" x14ac:dyDescent="0.3">
      <c r="A120" s="1">
        <v>119</v>
      </c>
      <c r="B120" s="1">
        <v>10129</v>
      </c>
      <c r="C120" s="1" t="s">
        <v>249</v>
      </c>
      <c r="D120" s="1" t="s">
        <v>565</v>
      </c>
      <c r="E120" s="1" t="s">
        <v>53</v>
      </c>
      <c r="F120" s="1" t="str">
        <f ca="1">_xlfn.XLOOKUP('February 2025'!B120,'March 2025'!B:B,'March 2025'!F:F)</f>
        <v>Manufacturing</v>
      </c>
      <c r="G120" s="1">
        <v>11000</v>
      </c>
      <c r="H120" s="1">
        <v>11000</v>
      </c>
      <c r="I120" s="1">
        <v>0</v>
      </c>
      <c r="J120" s="1">
        <v>0</v>
      </c>
      <c r="K120" s="1" t="s">
        <v>557</v>
      </c>
    </row>
    <row r="121" spans="1:11" x14ac:dyDescent="0.3">
      <c r="A121" s="1">
        <v>120</v>
      </c>
      <c r="B121" s="1">
        <v>10130</v>
      </c>
      <c r="C121" s="1" t="s">
        <v>250</v>
      </c>
      <c r="D121" s="1" t="s">
        <v>565</v>
      </c>
      <c r="E121" s="1" t="s">
        <v>35</v>
      </c>
      <c r="F121" s="1" t="str">
        <f>_xlfn.XLOOKUP('February 2025'!B121,'March 2025'!B:B,'March 2025'!F:F)</f>
        <v>Manufacturing</v>
      </c>
      <c r="G121" s="1">
        <v>13000</v>
      </c>
      <c r="H121" s="1">
        <v>13000</v>
      </c>
      <c r="I121" s="1">
        <v>0</v>
      </c>
      <c r="J121" s="1">
        <v>0</v>
      </c>
      <c r="K121" s="1" t="str">
        <f>_xlfn.XLOOKUP(C121,'March 2025'!C:C,'March 2025'!K:K)</f>
        <v>L-9</v>
      </c>
    </row>
    <row r="122" spans="1:11" x14ac:dyDescent="0.3">
      <c r="A122" s="1">
        <v>121</v>
      </c>
      <c r="B122" s="1">
        <v>61</v>
      </c>
      <c r="C122" s="1" t="s">
        <v>251</v>
      </c>
      <c r="D122" s="1" t="s">
        <v>564</v>
      </c>
      <c r="E122" s="1" t="s">
        <v>252</v>
      </c>
      <c r="F122" s="1" t="str">
        <f>_xlfn.XLOOKUP('February 2025'!B122,'March 2025'!B:B,'March 2025'!F:F)</f>
        <v>D2C</v>
      </c>
      <c r="G122" s="1">
        <v>28050</v>
      </c>
      <c r="H122" s="1">
        <v>26250</v>
      </c>
      <c r="I122" s="1">
        <v>1950</v>
      </c>
      <c r="J122" s="1">
        <v>0</v>
      </c>
      <c r="K122" s="1" t="s">
        <v>553</v>
      </c>
    </row>
    <row r="123" spans="1:11" x14ac:dyDescent="0.3">
      <c r="A123" s="1">
        <v>122</v>
      </c>
      <c r="B123" s="1">
        <v>10131</v>
      </c>
      <c r="C123" s="1" t="s">
        <v>253</v>
      </c>
      <c r="D123" s="1" t="s">
        <v>565</v>
      </c>
      <c r="E123" s="1" t="s">
        <v>53</v>
      </c>
      <c r="F123" s="1" t="str">
        <f>_xlfn.XLOOKUP('February 2025'!B123,'March 2025'!B:B,'March 2025'!F:F)</f>
        <v>Domestic</v>
      </c>
      <c r="G123" s="1">
        <v>11000</v>
      </c>
      <c r="H123" s="1">
        <v>11000</v>
      </c>
      <c r="I123" s="1">
        <v>0</v>
      </c>
      <c r="J123" s="1">
        <v>0</v>
      </c>
      <c r="K123" s="1" t="str">
        <f>_xlfn.XLOOKUP(C123,'March 2025'!C:C,'March 2025'!K:K)</f>
        <v>L-10</v>
      </c>
    </row>
    <row r="124" spans="1:11" x14ac:dyDescent="0.3">
      <c r="A124" s="1">
        <v>123</v>
      </c>
      <c r="B124" s="1">
        <v>10132</v>
      </c>
      <c r="C124" s="1" t="s">
        <v>254</v>
      </c>
      <c r="D124" s="1" t="s">
        <v>565</v>
      </c>
      <c r="E124" s="1" t="s">
        <v>35</v>
      </c>
      <c r="F124" s="1" t="str">
        <f>_xlfn.XLOOKUP('February 2025'!B124,'March 2025'!B:B,'March 2025'!F:F)</f>
        <v>Manufacturing</v>
      </c>
      <c r="G124" s="1">
        <v>13000</v>
      </c>
      <c r="H124" s="1">
        <v>13000</v>
      </c>
      <c r="I124" s="1">
        <v>0</v>
      </c>
      <c r="J124" s="1">
        <v>0</v>
      </c>
      <c r="K124" s="1" t="str">
        <f>_xlfn.XLOOKUP(C124,'March 2025'!C:C,'March 2025'!K:K)</f>
        <v>L-9</v>
      </c>
    </row>
    <row r="125" spans="1:11" x14ac:dyDescent="0.3">
      <c r="A125" s="1">
        <v>124</v>
      </c>
      <c r="B125" s="1">
        <v>10134</v>
      </c>
      <c r="C125" s="1" t="s">
        <v>255</v>
      </c>
      <c r="D125" s="1" t="s">
        <v>565</v>
      </c>
      <c r="E125" s="1" t="s">
        <v>35</v>
      </c>
      <c r="F125" s="1" t="str">
        <f ca="1">_xlfn.XLOOKUP('February 2025'!B125,'March 2025'!B:B,'March 2025'!F:F)</f>
        <v>Manufacturing</v>
      </c>
      <c r="G125" s="1">
        <v>14000</v>
      </c>
      <c r="H125" s="1">
        <v>14000</v>
      </c>
      <c r="I125" s="1">
        <v>0</v>
      </c>
      <c r="J125" s="1">
        <v>0</v>
      </c>
      <c r="K125" s="1" t="s">
        <v>556</v>
      </c>
    </row>
    <row r="126" spans="1:11" x14ac:dyDescent="0.3">
      <c r="A126" s="1">
        <v>125</v>
      </c>
      <c r="B126" s="1">
        <v>10135</v>
      </c>
      <c r="C126" s="1" t="s">
        <v>256</v>
      </c>
      <c r="D126" s="1" t="s">
        <v>565</v>
      </c>
      <c r="E126" s="1" t="s">
        <v>53</v>
      </c>
      <c r="F126" s="1" t="str">
        <f>_xlfn.XLOOKUP(C126,'[1]February 2025'!$C:$C,'[1]February 2025'!$I:$I)</f>
        <v>Overseas</v>
      </c>
      <c r="G126" s="1">
        <v>15000</v>
      </c>
      <c r="H126" s="1">
        <v>15000</v>
      </c>
      <c r="I126" s="1">
        <v>0</v>
      </c>
      <c r="J126" s="1">
        <v>0</v>
      </c>
      <c r="K126" s="1" t="str">
        <f>_xlfn.XLOOKUP(C126,'March 2025'!C:C,'March 2025'!K:K)</f>
        <v>L-10</v>
      </c>
    </row>
    <row r="127" spans="1:11" x14ac:dyDescent="0.3">
      <c r="A127" s="1">
        <v>126</v>
      </c>
      <c r="B127" s="1">
        <v>10136</v>
      </c>
      <c r="C127" s="1" t="s">
        <v>257</v>
      </c>
      <c r="D127" s="1" t="s">
        <v>565</v>
      </c>
      <c r="E127" s="1" t="s">
        <v>53</v>
      </c>
      <c r="F127" s="1" t="str">
        <f ca="1">_xlfn.XLOOKUP('February 2025'!B127,'March 2025'!B:B,'March 2025'!F:F)</f>
        <v>Manufacturing</v>
      </c>
      <c r="G127" s="1">
        <v>11000</v>
      </c>
      <c r="H127" s="1">
        <v>11000</v>
      </c>
      <c r="I127" s="1">
        <v>0</v>
      </c>
      <c r="J127" s="1">
        <v>0</v>
      </c>
      <c r="K127" s="1" t="s">
        <v>557</v>
      </c>
    </row>
    <row r="128" spans="1:11" x14ac:dyDescent="0.3">
      <c r="A128" s="1">
        <v>127</v>
      </c>
      <c r="B128" s="1">
        <v>10137</v>
      </c>
      <c r="C128" s="1" t="s">
        <v>258</v>
      </c>
      <c r="D128" s="1" t="s">
        <v>565</v>
      </c>
      <c r="E128" s="1" t="s">
        <v>53</v>
      </c>
      <c r="F128" s="1" t="str">
        <f>_xlfn.XLOOKUP('February 2025'!B128,'March 2025'!B:B,'March 2025'!F:F)</f>
        <v>Overseas</v>
      </c>
      <c r="G128" s="1">
        <v>11000</v>
      </c>
      <c r="H128" s="1">
        <v>11000</v>
      </c>
      <c r="I128" s="1">
        <v>0</v>
      </c>
      <c r="J128" s="1">
        <v>0</v>
      </c>
      <c r="K128" s="1" t="str">
        <f>_xlfn.XLOOKUP(C128,'March 2025'!C:C,'March 2025'!K:K)</f>
        <v>L-10</v>
      </c>
    </row>
    <row r="129" spans="1:11" x14ac:dyDescent="0.3">
      <c r="A129" s="1">
        <v>128</v>
      </c>
      <c r="B129" s="1">
        <v>10138</v>
      </c>
      <c r="C129" s="1" t="s">
        <v>259</v>
      </c>
      <c r="D129" s="1" t="s">
        <v>565</v>
      </c>
      <c r="E129" s="1" t="s">
        <v>53</v>
      </c>
      <c r="F129" s="1" t="str">
        <f ca="1">_xlfn.XLOOKUP('February 2025'!B129,'March 2025'!B:B,'March 2025'!F:F)</f>
        <v xml:space="preserve">Admin </v>
      </c>
      <c r="G129" s="1">
        <v>11000</v>
      </c>
      <c r="H129" s="1">
        <v>11000</v>
      </c>
      <c r="I129" s="1">
        <v>0</v>
      </c>
      <c r="J129" s="1">
        <v>0</v>
      </c>
      <c r="K129" s="1" t="s">
        <v>557</v>
      </c>
    </row>
    <row r="130" spans="1:11" x14ac:dyDescent="0.3">
      <c r="A130" s="1">
        <v>129</v>
      </c>
      <c r="B130" s="1">
        <v>10139</v>
      </c>
      <c r="C130" s="1" t="s">
        <v>260</v>
      </c>
      <c r="D130" s="1" t="s">
        <v>565</v>
      </c>
      <c r="E130" s="1" t="s">
        <v>53</v>
      </c>
      <c r="F130" s="1" t="str">
        <f>_xlfn.XLOOKUP('February 2025'!B130,'March 2025'!B:B,'March 2025'!F:F)</f>
        <v>Manufacturing</v>
      </c>
      <c r="G130" s="1">
        <v>15000</v>
      </c>
      <c r="H130" s="1">
        <v>15000</v>
      </c>
      <c r="I130" s="1">
        <v>0</v>
      </c>
      <c r="J130" s="1">
        <v>0</v>
      </c>
      <c r="K130" s="1" t="str">
        <f>_xlfn.XLOOKUP(C130,'March 2025'!C:C,'March 2025'!K:K)</f>
        <v>L-9</v>
      </c>
    </row>
    <row r="131" spans="1:11" x14ac:dyDescent="0.3">
      <c r="A131" s="1">
        <v>130</v>
      </c>
      <c r="B131" s="1">
        <v>10140</v>
      </c>
      <c r="C131" s="1" t="s">
        <v>261</v>
      </c>
      <c r="D131" s="1" t="s">
        <v>565</v>
      </c>
      <c r="E131" s="1" t="s">
        <v>35</v>
      </c>
      <c r="F131" s="1" t="str">
        <f>_xlfn.XLOOKUP('February 2025'!B131,'March 2025'!B:B,'March 2025'!F:F)</f>
        <v>Manufacturing</v>
      </c>
      <c r="G131" s="1">
        <v>12500</v>
      </c>
      <c r="H131" s="1">
        <v>12500</v>
      </c>
      <c r="I131" s="1">
        <v>0</v>
      </c>
      <c r="J131" s="1">
        <v>0</v>
      </c>
      <c r="K131" s="1" t="str">
        <f>_xlfn.XLOOKUP(C131,'March 2025'!C:C,'March 2025'!K:K)</f>
        <v>L-9</v>
      </c>
    </row>
    <row r="132" spans="1:11" x14ac:dyDescent="0.3">
      <c r="A132" s="1">
        <v>131</v>
      </c>
      <c r="B132" s="1">
        <v>10141</v>
      </c>
      <c r="C132" s="1" t="s">
        <v>262</v>
      </c>
      <c r="D132" s="1" t="s">
        <v>565</v>
      </c>
      <c r="E132" s="1" t="s">
        <v>53</v>
      </c>
      <c r="F132" s="1" t="str">
        <f ca="1">_xlfn.XLOOKUP('February 2025'!B132,'March 2025'!B:B,'March 2025'!F:F)</f>
        <v>Domestic</v>
      </c>
      <c r="G132" s="1">
        <v>11000</v>
      </c>
      <c r="H132" s="1">
        <v>11000</v>
      </c>
      <c r="I132" s="1">
        <v>0</v>
      </c>
      <c r="J132" s="1">
        <v>0</v>
      </c>
      <c r="K132" s="1" t="s">
        <v>557</v>
      </c>
    </row>
    <row r="133" spans="1:11" x14ac:dyDescent="0.3">
      <c r="A133" s="1">
        <v>132</v>
      </c>
      <c r="B133" s="1">
        <v>10142</v>
      </c>
      <c r="C133" s="1" t="s">
        <v>265</v>
      </c>
      <c r="D133" s="1" t="s">
        <v>565</v>
      </c>
      <c r="E133" s="1" t="s">
        <v>35</v>
      </c>
      <c r="F133" s="1" t="str">
        <f>_xlfn.XLOOKUP('February 2025'!B133,'March 2025'!B:B,'March 2025'!F:F)</f>
        <v>Manufacturing</v>
      </c>
      <c r="G133" s="1">
        <v>14000</v>
      </c>
      <c r="H133" s="1">
        <v>14000</v>
      </c>
      <c r="I133" s="1">
        <v>0</v>
      </c>
      <c r="J133" s="1">
        <v>0</v>
      </c>
      <c r="K133" s="1" t="str">
        <f>_xlfn.XLOOKUP(C133,'March 2025'!C:C,'March 2025'!K:K)</f>
        <v>L-9</v>
      </c>
    </row>
    <row r="134" spans="1:11" x14ac:dyDescent="0.3">
      <c r="A134" s="1">
        <v>133</v>
      </c>
      <c r="B134" s="1">
        <v>10143</v>
      </c>
      <c r="C134" s="1" t="s">
        <v>266</v>
      </c>
      <c r="D134" s="1" t="s">
        <v>565</v>
      </c>
      <c r="E134" s="1" t="s">
        <v>267</v>
      </c>
      <c r="F134" s="1" t="str">
        <f>_xlfn.XLOOKUP('February 2025'!B134,'March 2025'!B:B,'March 2025'!F:F)</f>
        <v>Manufacturing</v>
      </c>
      <c r="G134" s="1">
        <v>11500</v>
      </c>
      <c r="H134" s="1">
        <v>11500</v>
      </c>
      <c r="I134" s="1">
        <v>0</v>
      </c>
      <c r="J134" s="1">
        <v>0</v>
      </c>
      <c r="K134" s="1" t="str">
        <f>_xlfn.XLOOKUP(C134,'March 2025'!C:C,'March 2025'!K:K)</f>
        <v>L-9</v>
      </c>
    </row>
    <row r="135" spans="1:11" x14ac:dyDescent="0.3">
      <c r="A135" s="1">
        <v>134</v>
      </c>
      <c r="B135" s="1">
        <v>10144</v>
      </c>
      <c r="C135" s="1" t="s">
        <v>268</v>
      </c>
      <c r="D135" s="1" t="s">
        <v>565</v>
      </c>
      <c r="E135" s="1" t="s">
        <v>35</v>
      </c>
      <c r="F135" s="1" t="str">
        <f>_xlfn.XLOOKUP('February 2025'!B135,'March 2025'!B:B,'March 2025'!F:F)</f>
        <v>Manufacturing</v>
      </c>
      <c r="G135" s="1">
        <v>12500</v>
      </c>
      <c r="H135" s="1">
        <v>12500</v>
      </c>
      <c r="I135" s="1">
        <v>0</v>
      </c>
      <c r="J135" s="1">
        <v>0</v>
      </c>
      <c r="K135" s="1" t="s">
        <v>556</v>
      </c>
    </row>
    <row r="136" spans="1:11" x14ac:dyDescent="0.3">
      <c r="A136" s="1">
        <v>135</v>
      </c>
      <c r="B136" s="1">
        <v>10145</v>
      </c>
      <c r="C136" s="1" t="s">
        <v>269</v>
      </c>
      <c r="D136" s="1" t="s">
        <v>565</v>
      </c>
      <c r="E136" s="1" t="s">
        <v>35</v>
      </c>
      <c r="F136" s="1" t="str">
        <f>_xlfn.XLOOKUP('February 2025'!B136,'March 2025'!B:B,'March 2025'!F:F)</f>
        <v>Manufacturing</v>
      </c>
      <c r="G136" s="1">
        <v>12500</v>
      </c>
      <c r="H136" s="1">
        <v>12500</v>
      </c>
      <c r="I136" s="1">
        <v>0</v>
      </c>
      <c r="J136" s="1">
        <v>0</v>
      </c>
      <c r="K136" s="1" t="s">
        <v>556</v>
      </c>
    </row>
    <row r="137" spans="1:11" x14ac:dyDescent="0.3">
      <c r="A137" s="1">
        <v>136</v>
      </c>
      <c r="B137" s="1">
        <v>10146</v>
      </c>
      <c r="C137" s="1" t="s">
        <v>270</v>
      </c>
      <c r="D137" s="1" t="s">
        <v>565</v>
      </c>
      <c r="E137" s="1" t="s">
        <v>61</v>
      </c>
      <c r="F137" s="1" t="str">
        <f>_xlfn.XLOOKUP('February 2025'!B137,'March 2025'!B:B,'March 2025'!F:F)</f>
        <v>Domestic</v>
      </c>
      <c r="G137" s="1">
        <v>13000</v>
      </c>
      <c r="H137" s="1">
        <v>13000</v>
      </c>
      <c r="I137" s="1">
        <v>0</v>
      </c>
      <c r="J137" s="1">
        <v>0</v>
      </c>
      <c r="K137" s="1" t="str">
        <f>_xlfn.XLOOKUP(C137,'March 2025'!C:C,'March 2025'!K:K)</f>
        <v>L-9</v>
      </c>
    </row>
    <row r="138" spans="1:11" x14ac:dyDescent="0.3">
      <c r="A138" s="1">
        <v>137</v>
      </c>
      <c r="B138" s="1">
        <v>10147</v>
      </c>
      <c r="C138" s="1" t="s">
        <v>271</v>
      </c>
      <c r="D138" s="1" t="s">
        <v>565</v>
      </c>
      <c r="E138" s="1" t="s">
        <v>130</v>
      </c>
      <c r="F138" s="1" t="str">
        <f>_xlfn.XLOOKUP(C138,'[1]February 2025'!$C:$C,'[1]February 2025'!$I:$I)</f>
        <v>Manufacturing</v>
      </c>
      <c r="G138" s="1">
        <v>8500</v>
      </c>
      <c r="H138" s="1">
        <v>8500</v>
      </c>
      <c r="I138" s="1">
        <v>0</v>
      </c>
      <c r="J138" s="1">
        <v>0</v>
      </c>
      <c r="K138" s="1" t="s">
        <v>556</v>
      </c>
    </row>
    <row r="139" spans="1:11" x14ac:dyDescent="0.3">
      <c r="A139" s="1">
        <v>138</v>
      </c>
      <c r="B139" s="1">
        <v>10148</v>
      </c>
      <c r="C139" s="1" t="s">
        <v>272</v>
      </c>
      <c r="D139" s="1" t="s">
        <v>565</v>
      </c>
      <c r="E139" s="1" t="s">
        <v>55</v>
      </c>
      <c r="F139" s="1" t="str">
        <f>_xlfn.XLOOKUP('February 2025'!B139,'March 2025'!B:B,'March 2025'!F:F)</f>
        <v>Manufacturing</v>
      </c>
      <c r="G139" s="1">
        <v>13000</v>
      </c>
      <c r="H139" s="1">
        <v>13000</v>
      </c>
      <c r="I139" s="1">
        <v>0</v>
      </c>
      <c r="J139" s="1">
        <v>0</v>
      </c>
      <c r="K139" s="1" t="str">
        <f>_xlfn.XLOOKUP(C139,'March 2025'!C:C,'March 2025'!K:K)</f>
        <v>L-7</v>
      </c>
    </row>
    <row r="140" spans="1:11" x14ac:dyDescent="0.3">
      <c r="A140" s="1">
        <v>139</v>
      </c>
      <c r="B140" s="1">
        <v>10149</v>
      </c>
      <c r="C140" s="1" t="s">
        <v>273</v>
      </c>
      <c r="D140" s="1" t="s">
        <v>565</v>
      </c>
      <c r="E140" s="1" t="s">
        <v>35</v>
      </c>
      <c r="F140" s="1" t="str">
        <f>_xlfn.XLOOKUP('February 2025'!B140,'March 2025'!B:B,'March 2025'!F:F)</f>
        <v>Manufacturing</v>
      </c>
      <c r="G140" s="1">
        <v>12500</v>
      </c>
      <c r="H140" s="1">
        <v>12500</v>
      </c>
      <c r="I140" s="1">
        <v>0</v>
      </c>
      <c r="J140" s="1">
        <v>0</v>
      </c>
      <c r="K140" s="1" t="s">
        <v>556</v>
      </c>
    </row>
    <row r="141" spans="1:11" x14ac:dyDescent="0.3">
      <c r="A141" s="1">
        <v>140</v>
      </c>
      <c r="B141" s="1">
        <v>10150</v>
      </c>
      <c r="C141" s="1" t="s">
        <v>274</v>
      </c>
      <c r="D141" s="1" t="s">
        <v>565</v>
      </c>
      <c r="E141" s="1" t="s">
        <v>35</v>
      </c>
      <c r="F141" s="1" t="str">
        <f>_xlfn.XLOOKUP('February 2025'!B141,'March 2025'!B:B,'March 2025'!F:F)</f>
        <v>Manufacturing</v>
      </c>
      <c r="G141" s="1">
        <v>13000</v>
      </c>
      <c r="H141" s="1">
        <v>13000</v>
      </c>
      <c r="I141" s="1">
        <v>0</v>
      </c>
      <c r="J141" s="1">
        <v>0</v>
      </c>
      <c r="K141" s="1" t="s">
        <v>556</v>
      </c>
    </row>
    <row r="142" spans="1:11" x14ac:dyDescent="0.3">
      <c r="A142" s="1">
        <v>141</v>
      </c>
      <c r="B142" s="1">
        <v>10151</v>
      </c>
      <c r="C142" s="1" t="s">
        <v>275</v>
      </c>
      <c r="D142" s="1" t="s">
        <v>565</v>
      </c>
      <c r="E142" s="1" t="s">
        <v>35</v>
      </c>
      <c r="F142" s="1" t="str">
        <f>_xlfn.XLOOKUP('February 2025'!B142,'March 2025'!B:B,'March 2025'!F:F)</f>
        <v>Manufacturing</v>
      </c>
      <c r="G142" s="1">
        <v>12000</v>
      </c>
      <c r="H142" s="1">
        <v>12000</v>
      </c>
      <c r="I142" s="1">
        <v>0</v>
      </c>
      <c r="J142" s="1">
        <v>0</v>
      </c>
      <c r="K142" s="1" t="str">
        <f>_xlfn.XLOOKUP(C142,'March 2025'!C:C,'March 2025'!K:K)</f>
        <v>L-9</v>
      </c>
    </row>
    <row r="143" spans="1:11" x14ac:dyDescent="0.3">
      <c r="A143" s="1">
        <v>142</v>
      </c>
      <c r="B143" s="1">
        <v>10152</v>
      </c>
      <c r="C143" s="1" t="s">
        <v>276</v>
      </c>
      <c r="D143" s="1" t="s">
        <v>565</v>
      </c>
      <c r="E143" s="1" t="s">
        <v>35</v>
      </c>
      <c r="F143" s="1" t="str">
        <f>_xlfn.XLOOKUP('February 2025'!B143,'March 2025'!B:B,'March 2025'!F:F)</f>
        <v>Domestic</v>
      </c>
      <c r="G143" s="1">
        <v>12000</v>
      </c>
      <c r="H143" s="1">
        <v>12000</v>
      </c>
      <c r="I143" s="1">
        <v>0</v>
      </c>
      <c r="J143" s="1">
        <v>0</v>
      </c>
      <c r="K143" s="1" t="str">
        <f>_xlfn.XLOOKUP(C143,'March 2025'!C:C,'March 2025'!K:K)</f>
        <v>L-9</v>
      </c>
    </row>
    <row r="144" spans="1:11" x14ac:dyDescent="0.3">
      <c r="A144" s="1">
        <v>143</v>
      </c>
      <c r="B144" s="1">
        <v>10153</v>
      </c>
      <c r="C144" s="1" t="s">
        <v>277</v>
      </c>
      <c r="D144" s="1" t="s">
        <v>565</v>
      </c>
      <c r="E144" s="1" t="s">
        <v>53</v>
      </c>
      <c r="F144" s="1" t="str">
        <f>_xlfn.XLOOKUP(C144,'[1]February 2025'!$C:$C,'[1]February 2025'!$I:$I)</f>
        <v>Manufacturing</v>
      </c>
      <c r="G144" s="1">
        <v>14000</v>
      </c>
      <c r="H144" s="1">
        <v>14000</v>
      </c>
      <c r="I144" s="1">
        <v>0</v>
      </c>
      <c r="J144" s="1">
        <v>0</v>
      </c>
      <c r="K144" s="1" t="str">
        <f>_xlfn.XLOOKUP(C144,'March 2025'!C:C,'March 2025'!K:K)</f>
        <v>L-10</v>
      </c>
    </row>
    <row r="145" spans="1:11" x14ac:dyDescent="0.3">
      <c r="A145" s="1">
        <v>144</v>
      </c>
      <c r="B145" s="1">
        <v>10154</v>
      </c>
      <c r="C145" s="1" t="s">
        <v>278</v>
      </c>
      <c r="D145" s="1" t="s">
        <v>565</v>
      </c>
      <c r="E145" s="1" t="s">
        <v>53</v>
      </c>
      <c r="F145" s="1" t="str">
        <f>_xlfn.XLOOKUP('February 2025'!B145,'March 2025'!B:B,'March 2025'!F:F)</f>
        <v>Manufacturing</v>
      </c>
      <c r="G145" s="1">
        <v>8500</v>
      </c>
      <c r="H145" s="1">
        <v>8500</v>
      </c>
      <c r="I145" s="1">
        <v>0</v>
      </c>
      <c r="J145" s="1">
        <v>0</v>
      </c>
      <c r="K145" s="1" t="s">
        <v>557</v>
      </c>
    </row>
    <row r="146" spans="1:11" x14ac:dyDescent="0.3">
      <c r="A146" s="1">
        <v>145</v>
      </c>
      <c r="B146" s="1">
        <v>10155</v>
      </c>
      <c r="C146" s="1" t="s">
        <v>279</v>
      </c>
      <c r="D146" s="1" t="s">
        <v>565</v>
      </c>
      <c r="E146" s="1" t="s">
        <v>53</v>
      </c>
      <c r="F146" s="1" t="str">
        <f>_xlfn.XLOOKUP(C146,'[1]February 2025'!$C:$C,'[1]February 2025'!$I:$I)</f>
        <v>Domestic</v>
      </c>
      <c r="G146" s="1">
        <v>8500</v>
      </c>
      <c r="H146" s="1">
        <v>8500</v>
      </c>
      <c r="I146" s="1">
        <v>0</v>
      </c>
      <c r="J146" s="1">
        <v>0</v>
      </c>
      <c r="K146" s="1" t="s">
        <v>557</v>
      </c>
    </row>
    <row r="147" spans="1:11" x14ac:dyDescent="0.3">
      <c r="A147" s="1">
        <v>146</v>
      </c>
      <c r="B147" s="1">
        <v>10156</v>
      </c>
      <c r="C147" s="1" t="s">
        <v>280</v>
      </c>
      <c r="D147" s="1" t="s">
        <v>565</v>
      </c>
      <c r="E147" s="1" t="s">
        <v>53</v>
      </c>
      <c r="F147" s="1" t="str">
        <f>_xlfn.XLOOKUP(C147,'[1]February 2025'!$C:$C,'[1]February 2025'!$I:$I)</f>
        <v>Domestic</v>
      </c>
      <c r="G147" s="1">
        <v>11000</v>
      </c>
      <c r="H147" s="1">
        <v>11000</v>
      </c>
      <c r="I147" s="1">
        <v>0</v>
      </c>
      <c r="J147" s="1">
        <v>0</v>
      </c>
      <c r="K147" s="1" t="s">
        <v>557</v>
      </c>
    </row>
    <row r="148" spans="1:11" x14ac:dyDescent="0.3">
      <c r="A148" s="1">
        <v>147</v>
      </c>
      <c r="B148" s="1">
        <v>62</v>
      </c>
      <c r="C148" s="1" t="s">
        <v>281</v>
      </c>
      <c r="D148" s="1" t="s">
        <v>564</v>
      </c>
      <c r="E148" s="1" t="s">
        <v>67</v>
      </c>
      <c r="F148" s="1" t="str">
        <f>_xlfn.XLOOKUP('February 2025'!B148,'March 2025'!B:B,'March 2025'!F:F)</f>
        <v>Manufacturing</v>
      </c>
      <c r="G148" s="1">
        <v>30000</v>
      </c>
      <c r="H148" s="1">
        <v>30000</v>
      </c>
      <c r="I148" s="1">
        <v>0</v>
      </c>
      <c r="J148" s="1">
        <v>0</v>
      </c>
      <c r="K148" s="1" t="str">
        <f>_xlfn.XLOOKUP(C148,'March 2025'!C:C,'March 2025'!K:K)</f>
        <v>L-9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2CE3886-05B2-451F-8B3A-6E736D3C8372}">
          <x14:formula1>
            <xm:f>'Data Validation'!$K$1:$K$11</xm:f>
          </x14:formula1>
          <xm:sqref>K2:K1048576</xm:sqref>
        </x14:dataValidation>
        <x14:dataValidation type="list" allowBlank="1" showInputMessage="1" showErrorMessage="1" xr:uid="{B365F89D-2119-49D8-BD38-83476B4EC19F}">
          <x14:formula1>
            <xm:f>'Data Validation'!$A$1:$A$7</xm:f>
          </x14:formula1>
          <xm:sqref>F1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2366-E381-4AA5-A429-1AC244659435}">
  <dimension ref="A1:K305"/>
  <sheetViews>
    <sheetView zoomScale="72" workbookViewId="0">
      <selection activeCell="C35" sqref="C35"/>
    </sheetView>
  </sheetViews>
  <sheetFormatPr defaultRowHeight="14.4" x14ac:dyDescent="0.3"/>
  <cols>
    <col min="1" max="2" width="23.6640625" customWidth="1"/>
    <col min="3" max="3" width="28.21875" bestFit="1" customWidth="1"/>
    <col min="5" max="5" width="23.6640625" customWidth="1"/>
    <col min="6" max="6" width="12.21875" bestFit="1" customWidth="1"/>
    <col min="7" max="8" width="23.6640625" customWidth="1"/>
    <col min="9" max="9" width="10.88671875" bestFit="1" customWidth="1"/>
    <col min="11" max="11" width="24.10937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569</v>
      </c>
      <c r="E1" s="2" t="s">
        <v>4</v>
      </c>
      <c r="F1" s="2" t="s">
        <v>3</v>
      </c>
      <c r="G1" s="2" t="s">
        <v>5</v>
      </c>
      <c r="H1" s="2" t="s">
        <v>6</v>
      </c>
      <c r="I1" s="2" t="s">
        <v>562</v>
      </c>
      <c r="J1" s="2" t="s">
        <v>563</v>
      </c>
      <c r="K1" s="2" t="s">
        <v>559</v>
      </c>
    </row>
    <row r="2" spans="1:11" x14ac:dyDescent="0.3">
      <c r="A2" s="1">
        <v>1</v>
      </c>
      <c r="B2" s="1">
        <v>1</v>
      </c>
      <c r="C2" s="1" t="s">
        <v>7</v>
      </c>
      <c r="D2" s="1" t="s">
        <v>564</v>
      </c>
      <c r="E2" s="1" t="s">
        <v>8</v>
      </c>
      <c r="F2" s="5" t="str">
        <f>_xlfn.XLOOKUP(B2,'April 2025'!B:B,'April 2025'!F:F)</f>
        <v>Manufacturing</v>
      </c>
      <c r="G2" s="1">
        <v>10300</v>
      </c>
      <c r="H2" s="1">
        <v>9142</v>
      </c>
      <c r="I2" s="1">
        <v>1170</v>
      </c>
      <c r="J2" s="1">
        <v>335</v>
      </c>
      <c r="K2" s="1" t="str">
        <f>_xlfn.XLOOKUP(C2,'April 2025'!C:C,'April 2025'!K:K)</f>
        <v>L-9</v>
      </c>
    </row>
    <row r="3" spans="1:11" x14ac:dyDescent="0.3">
      <c r="A3" s="1">
        <v>2</v>
      </c>
      <c r="B3" s="1">
        <v>2</v>
      </c>
      <c r="C3" s="1" t="s">
        <v>9</v>
      </c>
      <c r="D3" s="1" t="s">
        <v>564</v>
      </c>
      <c r="E3" s="1" t="s">
        <v>10</v>
      </c>
      <c r="F3" s="5" t="str">
        <f>_xlfn.XLOOKUP(B3,'April 2025'!B:B,'April 2025'!F:F)</f>
        <v>Domestic</v>
      </c>
      <c r="G3" s="1">
        <v>20500</v>
      </c>
      <c r="H3" s="1">
        <v>18870</v>
      </c>
      <c r="I3" s="1">
        <v>1599</v>
      </c>
      <c r="J3" s="1">
        <v>667</v>
      </c>
      <c r="K3" s="1" t="str">
        <f>_xlfn.XLOOKUP(C3,'April 2025'!C:C,'April 2025'!K:K)</f>
        <v>L-8</v>
      </c>
    </row>
    <row r="4" spans="1:11" x14ac:dyDescent="0.3">
      <c r="A4" s="1">
        <v>3</v>
      </c>
      <c r="B4" s="1">
        <v>3</v>
      </c>
      <c r="C4" s="1" t="s">
        <v>11</v>
      </c>
      <c r="D4" s="1" t="s">
        <v>564</v>
      </c>
      <c r="E4" s="1" t="s">
        <v>12</v>
      </c>
      <c r="F4" s="5" t="str">
        <f>_xlfn.XLOOKUP(B4,'April 2025'!B:B,'April 2025'!F:F)</f>
        <v>Manufacturing</v>
      </c>
      <c r="G4" s="1">
        <v>27500</v>
      </c>
      <c r="H4" s="1">
        <v>27500</v>
      </c>
      <c r="I4" s="1">
        <v>0</v>
      </c>
      <c r="J4" s="1">
        <v>0</v>
      </c>
      <c r="K4" s="1" t="str">
        <f>_xlfn.XLOOKUP(C4,'April 2025'!C:C,'April 2025'!K:K)</f>
        <v>L-9</v>
      </c>
    </row>
    <row r="5" spans="1:11" x14ac:dyDescent="0.3">
      <c r="A5" s="1">
        <v>4</v>
      </c>
      <c r="B5" s="1">
        <v>4</v>
      </c>
      <c r="C5" s="1" t="s">
        <v>13</v>
      </c>
      <c r="D5" s="1" t="s">
        <v>564</v>
      </c>
      <c r="E5" s="1" t="s">
        <v>10</v>
      </c>
      <c r="F5" s="5" t="str">
        <f>_xlfn.XLOOKUP(B5,'April 2025'!B:B,'April 2025'!F:F)</f>
        <v>Domestic</v>
      </c>
      <c r="G5" s="1">
        <v>20625</v>
      </c>
      <c r="H5" s="1">
        <v>18737.439999999999</v>
      </c>
      <c r="I5" s="1">
        <v>1877</v>
      </c>
      <c r="J5" s="1">
        <v>671</v>
      </c>
      <c r="K5" s="1" t="str">
        <f>_xlfn.XLOOKUP(C5,'April 2025'!C:C,'April 2025'!K:K)</f>
        <v>L-6</v>
      </c>
    </row>
    <row r="6" spans="1:11" x14ac:dyDescent="0.3">
      <c r="A6" s="1">
        <v>5</v>
      </c>
      <c r="B6" s="1">
        <v>5</v>
      </c>
      <c r="C6" s="1" t="s">
        <v>15</v>
      </c>
      <c r="D6" s="1" t="s">
        <v>565</v>
      </c>
      <c r="E6" s="1" t="s">
        <v>10</v>
      </c>
      <c r="F6" s="5" t="str">
        <f>_xlfn.XLOOKUP(B6,'April 2025'!B:B,'April 2025'!F:F)</f>
        <v>Domestic</v>
      </c>
      <c r="G6" s="1">
        <v>33200</v>
      </c>
      <c r="H6" s="1">
        <v>31400</v>
      </c>
      <c r="I6" s="1">
        <v>1950</v>
      </c>
      <c r="J6" s="1">
        <v>0</v>
      </c>
      <c r="K6" s="1" t="str">
        <f>_xlfn.XLOOKUP(C6,'April 2025'!C:C,'April 2025'!K:K)</f>
        <v>L-6</v>
      </c>
    </row>
    <row r="7" spans="1:11" x14ac:dyDescent="0.3">
      <c r="A7" s="1">
        <v>6</v>
      </c>
      <c r="B7" s="1">
        <v>6</v>
      </c>
      <c r="C7" s="1" t="s">
        <v>16</v>
      </c>
      <c r="D7" s="1" t="s">
        <v>564</v>
      </c>
      <c r="E7" s="1" t="s">
        <v>17</v>
      </c>
      <c r="F7" s="5" t="str">
        <f>_xlfn.XLOOKUP(B7,'April 2025'!B:B,'April 2025'!F:F)</f>
        <v xml:space="preserve">Admin </v>
      </c>
      <c r="G7" s="1">
        <v>62500</v>
      </c>
      <c r="H7" s="1">
        <v>62500</v>
      </c>
      <c r="I7" s="1">
        <v>0</v>
      </c>
      <c r="J7" s="1">
        <v>0</v>
      </c>
      <c r="K7" s="1" t="str">
        <f>_xlfn.XLOOKUP(C7,'April 2025'!C:C,'April 2025'!K:K)</f>
        <v>L-5</v>
      </c>
    </row>
    <row r="8" spans="1:11" x14ac:dyDescent="0.3">
      <c r="A8" s="1">
        <v>7</v>
      </c>
      <c r="B8" s="1">
        <v>7</v>
      </c>
      <c r="C8" s="1" t="s">
        <v>18</v>
      </c>
      <c r="D8" s="1" t="s">
        <v>564</v>
      </c>
      <c r="E8" s="1" t="s">
        <v>19</v>
      </c>
      <c r="F8" s="5" t="str">
        <f>_xlfn.XLOOKUP(B8,'April 2025'!B:B,'April 2025'!F:F)</f>
        <v xml:space="preserve">Admin </v>
      </c>
      <c r="G8" s="1">
        <v>48000</v>
      </c>
      <c r="H8" s="1">
        <v>48000</v>
      </c>
      <c r="I8" s="1">
        <v>0</v>
      </c>
      <c r="J8" s="1">
        <v>0</v>
      </c>
      <c r="K8" s="1" t="str">
        <f>_xlfn.XLOOKUP(C8,'April 2025'!C:C,'April 2025'!K:K)</f>
        <v>L-5</v>
      </c>
    </row>
    <row r="9" spans="1:11" x14ac:dyDescent="0.3">
      <c r="A9" s="1">
        <v>8</v>
      </c>
      <c r="B9" s="1">
        <v>8</v>
      </c>
      <c r="C9" s="1" t="s">
        <v>20</v>
      </c>
      <c r="D9" s="1" t="s">
        <v>564</v>
      </c>
      <c r="E9" s="1" t="s">
        <v>21</v>
      </c>
      <c r="F9" s="5" t="str">
        <f>_xlfn.XLOOKUP(C9,'January 2025'!C:C,'January 2025'!F:F)</f>
        <v>Manufacturing</v>
      </c>
      <c r="G9" s="1">
        <v>18225</v>
      </c>
      <c r="H9" s="1">
        <v>16775.8</v>
      </c>
      <c r="I9" s="1">
        <v>1422</v>
      </c>
      <c r="J9" s="1">
        <v>593</v>
      </c>
      <c r="K9" s="1" t="s">
        <v>556</v>
      </c>
    </row>
    <row r="10" spans="1:11" x14ac:dyDescent="0.3">
      <c r="A10" s="1">
        <v>9</v>
      </c>
      <c r="B10" s="1">
        <v>9</v>
      </c>
      <c r="C10" s="1" t="s">
        <v>22</v>
      </c>
      <c r="D10" s="1" t="s">
        <v>564</v>
      </c>
      <c r="E10" s="1" t="s">
        <v>23</v>
      </c>
      <c r="F10" s="5" t="str">
        <f>_xlfn.XLOOKUP(B10,'April 2025'!B:B,'April 2025'!F:F)</f>
        <v>Domestic</v>
      </c>
      <c r="G10" s="1">
        <v>14800</v>
      </c>
      <c r="H10" s="1">
        <v>13613.8</v>
      </c>
      <c r="I10" s="1">
        <v>1165</v>
      </c>
      <c r="J10" s="1">
        <v>481</v>
      </c>
      <c r="K10" s="1" t="str">
        <f>_xlfn.XLOOKUP(C10,'April 2025'!C:C,'April 2025'!K:K)</f>
        <v>L-9</v>
      </c>
    </row>
    <row r="11" spans="1:11" x14ac:dyDescent="0.3">
      <c r="A11" s="1">
        <v>10</v>
      </c>
      <c r="B11" s="1">
        <v>10</v>
      </c>
      <c r="C11" s="1" t="s">
        <v>24</v>
      </c>
      <c r="D11" s="1" t="s">
        <v>564</v>
      </c>
      <c r="E11" s="1" t="s">
        <v>10</v>
      </c>
      <c r="F11" s="5" t="str">
        <f>_xlfn.XLOOKUP(C11,'January 2025'!C:C,'January 2025'!F:F)</f>
        <v>Manufacturing</v>
      </c>
      <c r="G11" s="1">
        <v>34300</v>
      </c>
      <c r="H11" s="1">
        <v>34300</v>
      </c>
      <c r="I11" s="1">
        <v>0</v>
      </c>
      <c r="J11" s="1">
        <v>0</v>
      </c>
      <c r="K11" s="1" t="s">
        <v>555</v>
      </c>
    </row>
    <row r="12" spans="1:11" x14ac:dyDescent="0.3">
      <c r="A12" s="1">
        <v>11</v>
      </c>
      <c r="B12" s="1">
        <v>11</v>
      </c>
      <c r="C12" s="1" t="s">
        <v>25</v>
      </c>
      <c r="D12" s="1" t="s">
        <v>564</v>
      </c>
      <c r="E12" s="1" t="s">
        <v>26</v>
      </c>
      <c r="F12" s="5" t="str">
        <f>_xlfn.XLOOKUP(B12,'April 2025'!B:B,'April 2025'!F:F)</f>
        <v xml:space="preserve">Admin </v>
      </c>
      <c r="G12" s="1">
        <v>22000</v>
      </c>
      <c r="H12" s="1">
        <v>20200</v>
      </c>
      <c r="I12" s="1">
        <v>1950</v>
      </c>
      <c r="J12" s="1">
        <v>0</v>
      </c>
      <c r="K12" s="1" t="str">
        <f>_xlfn.XLOOKUP(C12,'April 2025'!C:C,'April 2025'!K:K)</f>
        <v>L-6</v>
      </c>
    </row>
    <row r="13" spans="1:11" x14ac:dyDescent="0.3">
      <c r="A13" s="1">
        <v>12</v>
      </c>
      <c r="B13" s="1">
        <v>16</v>
      </c>
      <c r="C13" s="1" t="s">
        <v>27</v>
      </c>
      <c r="D13" s="1" t="s">
        <v>564</v>
      </c>
      <c r="E13" s="1" t="s">
        <v>28</v>
      </c>
      <c r="F13" s="5" t="str">
        <f>_xlfn.XLOOKUP(B13,'April 2025'!B:B,'April 2025'!F:F)</f>
        <v>Domestic</v>
      </c>
      <c r="G13" s="1">
        <v>29000</v>
      </c>
      <c r="H13" s="1">
        <v>29000</v>
      </c>
      <c r="I13" s="1">
        <v>0</v>
      </c>
      <c r="J13" s="1">
        <v>0</v>
      </c>
      <c r="K13" s="1" t="str">
        <f>_xlfn.XLOOKUP(C13,'April 2025'!C:C,'April 2025'!K:K)</f>
        <v>L-9</v>
      </c>
    </row>
    <row r="14" spans="1:11" x14ac:dyDescent="0.3">
      <c r="A14" s="1">
        <v>13</v>
      </c>
      <c r="B14" s="1">
        <v>13</v>
      </c>
      <c r="C14" s="1" t="s">
        <v>29</v>
      </c>
      <c r="D14" s="1" t="s">
        <v>564</v>
      </c>
      <c r="E14" s="1" t="s">
        <v>10</v>
      </c>
      <c r="F14" s="5" t="str">
        <f>_xlfn.XLOOKUP(B14,'April 2025'!B:B,'April 2025'!F:F)</f>
        <v>Domestic</v>
      </c>
      <c r="G14" s="1">
        <v>14500</v>
      </c>
      <c r="H14" s="1">
        <v>13341</v>
      </c>
      <c r="I14" s="1">
        <v>1138</v>
      </c>
      <c r="J14" s="1">
        <v>472</v>
      </c>
      <c r="K14" s="1" t="str">
        <f>_xlfn.XLOOKUP(C14,'April 2025'!C:C,'April 2025'!K:K)</f>
        <v>L-7</v>
      </c>
    </row>
    <row r="15" spans="1:11" x14ac:dyDescent="0.3">
      <c r="A15" s="1">
        <v>14</v>
      </c>
      <c r="B15" s="1">
        <v>14</v>
      </c>
      <c r="C15" s="1" t="s">
        <v>30</v>
      </c>
      <c r="D15" s="1" t="s">
        <v>564</v>
      </c>
      <c r="E15" s="1" t="s">
        <v>31</v>
      </c>
      <c r="F15" s="5" t="str">
        <f>_xlfn.XLOOKUP(B15,'April 2025'!B:B,'April 2025'!F:F)</f>
        <v>Office Support</v>
      </c>
      <c r="G15" s="1">
        <v>15400</v>
      </c>
      <c r="H15" s="1">
        <v>14175.2</v>
      </c>
      <c r="I15" s="1">
        <v>1201</v>
      </c>
      <c r="J15" s="1">
        <v>501</v>
      </c>
      <c r="K15" s="1" t="str">
        <f>_xlfn.XLOOKUP(C15,'April 2025'!C:C,'April 2025'!K:K)</f>
        <v>L-10</v>
      </c>
    </row>
    <row r="16" spans="1:11" x14ac:dyDescent="0.3">
      <c r="A16" s="1">
        <v>15</v>
      </c>
      <c r="B16" s="1">
        <v>15</v>
      </c>
      <c r="C16" s="1" t="s">
        <v>32</v>
      </c>
      <c r="D16" s="1" t="s">
        <v>564</v>
      </c>
      <c r="E16" s="1" t="s">
        <v>33</v>
      </c>
      <c r="F16" s="5" t="str">
        <f>_xlfn.XLOOKUP(B16,'April 2025'!B:B,'April 2025'!F:F)</f>
        <v>Manufacturing</v>
      </c>
      <c r="G16" s="1">
        <v>20000</v>
      </c>
      <c r="H16" s="1">
        <v>18410</v>
      </c>
      <c r="I16" s="1">
        <v>1560</v>
      </c>
      <c r="J16" s="1">
        <v>650</v>
      </c>
      <c r="K16" s="1" t="str">
        <f>_xlfn.XLOOKUP(C16,'April 2025'!C:C,'April 2025'!K:K)</f>
        <v>L-9</v>
      </c>
    </row>
    <row r="17" spans="1:11" x14ac:dyDescent="0.3">
      <c r="A17" s="1">
        <v>16</v>
      </c>
      <c r="B17" s="1">
        <v>16</v>
      </c>
      <c r="C17" s="1" t="s">
        <v>34</v>
      </c>
      <c r="D17" s="1" t="s">
        <v>564</v>
      </c>
      <c r="E17" s="1" t="s">
        <v>35</v>
      </c>
      <c r="F17" s="5" t="str">
        <f>_xlfn.XLOOKUP(B17,'April 2025'!B:B,'April 2025'!F:F)</f>
        <v>Domestic</v>
      </c>
      <c r="G17" s="1">
        <v>14063</v>
      </c>
      <c r="H17" s="1">
        <v>12775.708000000001</v>
      </c>
      <c r="I17" s="1">
        <v>1280</v>
      </c>
      <c r="J17" s="1">
        <v>458</v>
      </c>
      <c r="K17" s="1" t="str">
        <f>_xlfn.XLOOKUP(C17,'April 2025'!C:C,'April 2025'!K:K)</f>
        <v>L-9</v>
      </c>
    </row>
    <row r="18" spans="1:11" x14ac:dyDescent="0.3">
      <c r="A18" s="1">
        <v>17</v>
      </c>
      <c r="B18" s="1">
        <v>17</v>
      </c>
      <c r="C18" s="1" t="s">
        <v>36</v>
      </c>
      <c r="D18" s="1" t="s">
        <v>564</v>
      </c>
      <c r="E18" s="1" t="s">
        <v>21</v>
      </c>
      <c r="F18" s="5" t="str">
        <f>_xlfn.XLOOKUP(B18,'April 2025'!B:B,'April 2025'!F:F)</f>
        <v>Manufacturing</v>
      </c>
      <c r="G18" s="1">
        <v>17500</v>
      </c>
      <c r="H18" s="1">
        <v>16108</v>
      </c>
      <c r="I18" s="1">
        <v>1365</v>
      </c>
      <c r="J18" s="1">
        <v>569</v>
      </c>
      <c r="K18" s="1" t="str">
        <f>_xlfn.XLOOKUP(C18,'April 2025'!C:C,'April 2025'!K:K)</f>
        <v>L-9</v>
      </c>
    </row>
    <row r="19" spans="1:11" x14ac:dyDescent="0.3">
      <c r="A19" s="1">
        <v>18</v>
      </c>
      <c r="B19" s="1">
        <v>18</v>
      </c>
      <c r="C19" s="1" t="s">
        <v>37</v>
      </c>
      <c r="D19" s="1" t="s">
        <v>564</v>
      </c>
      <c r="E19" s="1" t="s">
        <v>10</v>
      </c>
      <c r="F19" s="5" t="str">
        <f>_xlfn.XLOOKUP(C19,'January 2025'!C:C,'January 2025'!F:F)</f>
        <v>Manufacturing</v>
      </c>
      <c r="G19" s="1">
        <v>17000</v>
      </c>
      <c r="H19" s="1">
        <v>15648</v>
      </c>
      <c r="I19" s="1">
        <v>1326</v>
      </c>
      <c r="J19" s="1">
        <v>553</v>
      </c>
      <c r="K19" s="1" t="s">
        <v>555</v>
      </c>
    </row>
    <row r="20" spans="1:11" x14ac:dyDescent="0.3">
      <c r="A20" s="1">
        <v>19</v>
      </c>
      <c r="B20" s="1">
        <v>19</v>
      </c>
      <c r="C20" s="1" t="s">
        <v>38</v>
      </c>
      <c r="D20" s="1" t="s">
        <v>564</v>
      </c>
      <c r="E20" s="1" t="s">
        <v>35</v>
      </c>
      <c r="F20" s="5" t="str">
        <f>_xlfn.XLOOKUP(B20,'April 2025'!B:B,'April 2025'!F:F)</f>
        <v>Manufacturing</v>
      </c>
      <c r="G20" s="1">
        <v>15300</v>
      </c>
      <c r="H20" s="1">
        <v>14083.4</v>
      </c>
      <c r="I20" s="1">
        <v>1193</v>
      </c>
      <c r="J20" s="1">
        <v>498</v>
      </c>
      <c r="K20" s="1" t="str">
        <f>_xlfn.XLOOKUP(C20,'April 2025'!C:C,'April 2025'!K:K)</f>
        <v>L-9</v>
      </c>
    </row>
    <row r="21" spans="1:11" x14ac:dyDescent="0.3">
      <c r="A21" s="1">
        <v>20</v>
      </c>
      <c r="B21" s="1">
        <v>20</v>
      </c>
      <c r="C21" s="1" t="s">
        <v>39</v>
      </c>
      <c r="D21" s="1" t="s">
        <v>564</v>
      </c>
      <c r="E21" s="1" t="s">
        <v>35</v>
      </c>
      <c r="F21" s="5" t="str">
        <f>_xlfn.XLOOKUP(B21,'April 2025'!B:B,'April 2025'!F:F)</f>
        <v>Manufacturing</v>
      </c>
      <c r="G21" s="1">
        <v>14500</v>
      </c>
      <c r="H21" s="1">
        <v>13173</v>
      </c>
      <c r="I21" s="1">
        <v>1320</v>
      </c>
      <c r="J21" s="1">
        <v>472</v>
      </c>
      <c r="K21" s="1" t="str">
        <f>_xlfn.XLOOKUP(C21,'April 2025'!C:C,'April 2025'!K:K)</f>
        <v>L-9</v>
      </c>
    </row>
    <row r="22" spans="1:11" x14ac:dyDescent="0.3">
      <c r="A22" s="1">
        <v>21</v>
      </c>
      <c r="B22" s="1">
        <v>21</v>
      </c>
      <c r="C22" s="1" t="s">
        <v>40</v>
      </c>
      <c r="D22" s="1" t="s">
        <v>564</v>
      </c>
      <c r="E22" s="1" t="s">
        <v>41</v>
      </c>
      <c r="F22" s="5" t="str">
        <f>_xlfn.XLOOKUP(B22,'April 2025'!B:B,'April 2025'!F:F)</f>
        <v>Manufacturing</v>
      </c>
      <c r="G22" s="1">
        <v>22000</v>
      </c>
      <c r="H22" s="1">
        <v>20416</v>
      </c>
      <c r="I22" s="1">
        <v>1716</v>
      </c>
      <c r="J22" s="1">
        <v>0</v>
      </c>
      <c r="K22" s="1" t="str">
        <f>_xlfn.XLOOKUP(C22,'April 2025'!C:C,'April 2025'!K:K)</f>
        <v>L-8</v>
      </c>
    </row>
    <row r="23" spans="1:11" x14ac:dyDescent="0.3">
      <c r="A23" s="1">
        <v>22</v>
      </c>
      <c r="B23" s="1">
        <v>22</v>
      </c>
      <c r="C23" s="1" t="s">
        <v>282</v>
      </c>
      <c r="D23" s="1" t="s">
        <v>564</v>
      </c>
      <c r="E23" s="1" t="s">
        <v>42</v>
      </c>
      <c r="F23" s="5" t="str">
        <f>_xlfn.XLOOKUP(B23,'April 2025'!B:B,'April 2025'!F:F)</f>
        <v>Domestic</v>
      </c>
      <c r="G23" s="1">
        <v>68200</v>
      </c>
      <c r="H23" s="1">
        <v>66400</v>
      </c>
      <c r="I23" s="1">
        <v>1950</v>
      </c>
      <c r="J23" s="1">
        <v>0</v>
      </c>
      <c r="K23" s="1" t="str">
        <f>_xlfn.XLOOKUP(C23,'April 2025'!C:C,'April 2025'!K:K)</f>
        <v>L-5</v>
      </c>
    </row>
    <row r="24" spans="1:11" x14ac:dyDescent="0.3">
      <c r="A24" s="1">
        <v>23</v>
      </c>
      <c r="B24" s="1">
        <v>23</v>
      </c>
      <c r="C24" s="1" t="s">
        <v>43</v>
      </c>
      <c r="D24" s="1" t="s">
        <v>564</v>
      </c>
      <c r="E24" s="1" t="s">
        <v>12</v>
      </c>
      <c r="F24" s="5" t="str">
        <f>_xlfn.XLOOKUP(C24,'January 2025'!C:C,'January 2025'!F:F)</f>
        <v>Manufacturing</v>
      </c>
      <c r="G24" s="1">
        <v>26000</v>
      </c>
      <c r="H24" s="1">
        <v>24284</v>
      </c>
      <c r="I24" s="1">
        <v>1859</v>
      </c>
      <c r="J24" s="1">
        <v>0</v>
      </c>
      <c r="K24" s="1" t="s">
        <v>556</v>
      </c>
    </row>
    <row r="25" spans="1:11" x14ac:dyDescent="0.3">
      <c r="A25" s="1">
        <v>24</v>
      </c>
      <c r="B25" s="1">
        <v>24</v>
      </c>
      <c r="C25" s="1" t="s">
        <v>44</v>
      </c>
      <c r="D25" s="1" t="s">
        <v>564</v>
      </c>
      <c r="E25" s="1" t="s">
        <v>10</v>
      </c>
      <c r="F25" s="5" t="str">
        <f>_xlfn.XLOOKUP(B25,'April 2025'!B:B,'April 2025'!F:F)</f>
        <v>Domestic</v>
      </c>
      <c r="G25" s="1">
        <v>14000</v>
      </c>
      <c r="H25" s="1">
        <v>12702.2</v>
      </c>
      <c r="I25" s="1">
        <v>1292</v>
      </c>
      <c r="J25" s="1">
        <v>455</v>
      </c>
      <c r="K25" s="1" t="str">
        <f>_xlfn.XLOOKUP(C25,'April 2025'!C:C,'April 2025'!K:K)</f>
        <v>L-8</v>
      </c>
    </row>
    <row r="26" spans="1:11" x14ac:dyDescent="0.3">
      <c r="A26" s="1">
        <v>25</v>
      </c>
      <c r="B26" s="1">
        <v>30</v>
      </c>
      <c r="C26" s="1" t="s">
        <v>45</v>
      </c>
      <c r="D26" s="1" t="s">
        <v>564</v>
      </c>
      <c r="E26" s="1" t="s">
        <v>41</v>
      </c>
      <c r="F26" s="5" t="str">
        <f>_xlfn.XLOOKUP(C26,'January 2025'!C:C,'January 2025'!F:F)</f>
        <v>Manufacturing</v>
      </c>
      <c r="G26" s="1">
        <v>28000</v>
      </c>
      <c r="H26" s="1">
        <v>28000</v>
      </c>
      <c r="I26" s="1">
        <v>0</v>
      </c>
      <c r="J26" s="1">
        <v>0</v>
      </c>
      <c r="K26" s="1" t="s">
        <v>555</v>
      </c>
    </row>
    <row r="27" spans="1:11" x14ac:dyDescent="0.3">
      <c r="A27" s="1">
        <v>26</v>
      </c>
      <c r="B27" s="1">
        <v>31</v>
      </c>
      <c r="C27" s="1" t="s">
        <v>46</v>
      </c>
      <c r="D27" s="1" t="s">
        <v>564</v>
      </c>
      <c r="E27" s="1" t="s">
        <v>47</v>
      </c>
      <c r="F27" s="5" t="str">
        <f>_xlfn.XLOOKUP(C27,'January 2025'!C:C,'January 2025'!F:F)</f>
        <v>D2C</v>
      </c>
      <c r="G27" s="1">
        <v>40000</v>
      </c>
      <c r="H27" s="1">
        <v>40000</v>
      </c>
      <c r="I27" s="1">
        <v>0</v>
      </c>
      <c r="J27" s="1">
        <v>0</v>
      </c>
      <c r="K27" s="1" t="s">
        <v>553</v>
      </c>
    </row>
    <row r="28" spans="1:11" x14ac:dyDescent="0.3">
      <c r="A28" s="1">
        <v>27</v>
      </c>
      <c r="B28" s="1">
        <v>27</v>
      </c>
      <c r="C28" s="1" t="s">
        <v>48</v>
      </c>
      <c r="D28" s="1" t="s">
        <v>564</v>
      </c>
      <c r="E28" s="1" t="s">
        <v>10</v>
      </c>
      <c r="F28" s="5" t="str">
        <f>_xlfn.XLOOKUP(B28,'April 2025'!B:B,'April 2025'!F:F)</f>
        <v>Domestic</v>
      </c>
      <c r="G28" s="1">
        <v>20625</v>
      </c>
      <c r="H28" s="1">
        <v>18737.439999999999</v>
      </c>
      <c r="I28" s="1">
        <v>1877</v>
      </c>
      <c r="J28" s="1">
        <v>671</v>
      </c>
      <c r="K28" s="1" t="str">
        <f>_xlfn.XLOOKUP(C28,'April 2025'!C:C,'April 2025'!K:K)</f>
        <v>L-6</v>
      </c>
    </row>
    <row r="29" spans="1:11" x14ac:dyDescent="0.3">
      <c r="A29" s="1">
        <v>28</v>
      </c>
      <c r="B29" s="1">
        <v>33</v>
      </c>
      <c r="C29" s="1" t="s">
        <v>49</v>
      </c>
      <c r="D29" s="1" t="s">
        <v>564</v>
      </c>
      <c r="E29" s="1" t="s">
        <v>50</v>
      </c>
      <c r="F29" s="5" t="str">
        <f>_xlfn.XLOOKUP(B29,'April 2025'!B:B,'April 2025'!F:F)</f>
        <v>D2C</v>
      </c>
      <c r="G29" s="1">
        <v>80000</v>
      </c>
      <c r="H29" s="1">
        <v>78200</v>
      </c>
      <c r="I29" s="1">
        <v>1950</v>
      </c>
      <c r="J29" s="1">
        <v>0</v>
      </c>
      <c r="K29" s="1" t="str">
        <f>_xlfn.XLOOKUP(C29,'April 2025'!C:C,'April 2025'!K:K)</f>
        <v>L-6</v>
      </c>
    </row>
    <row r="30" spans="1:11" x14ac:dyDescent="0.3">
      <c r="A30" s="1">
        <v>29</v>
      </c>
      <c r="B30" s="1">
        <v>29</v>
      </c>
      <c r="C30" s="1" t="s">
        <v>51</v>
      </c>
      <c r="D30" s="1" t="s">
        <v>564</v>
      </c>
      <c r="E30" s="1" t="s">
        <v>42</v>
      </c>
      <c r="F30" s="5" t="str">
        <f>_xlfn.XLOOKUP(B30,'April 2025'!B:B,'April 2025'!F:F)</f>
        <v>D2C</v>
      </c>
      <c r="G30" s="1">
        <v>79450</v>
      </c>
      <c r="H30" s="1">
        <v>77650</v>
      </c>
      <c r="I30" s="1">
        <v>1950</v>
      </c>
      <c r="J30" s="1">
        <v>0</v>
      </c>
      <c r="K30" s="1" t="str">
        <f>_xlfn.XLOOKUP(C30,'April 2025'!C:C,'April 2025'!K:K)</f>
        <v>L-5</v>
      </c>
    </row>
    <row r="31" spans="1:11" x14ac:dyDescent="0.3">
      <c r="A31" s="1">
        <v>30</v>
      </c>
      <c r="B31" s="1">
        <v>19</v>
      </c>
      <c r="C31" s="1" t="s">
        <v>52</v>
      </c>
      <c r="D31" s="1" t="s">
        <v>564</v>
      </c>
      <c r="E31" s="1" t="s">
        <v>53</v>
      </c>
      <c r="F31" s="5" t="str">
        <f>_xlfn.XLOOKUP(B31,'April 2025'!B:B,'April 2025'!F:F)</f>
        <v>Manufacturing</v>
      </c>
      <c r="G31" s="1">
        <v>11000</v>
      </c>
      <c r="H31" s="1">
        <v>9837</v>
      </c>
      <c r="I31" s="1">
        <v>1170</v>
      </c>
      <c r="J31" s="1">
        <v>358</v>
      </c>
      <c r="K31" s="1" t="str">
        <f>_xlfn.XLOOKUP(C31,'April 2025'!C:C,'April 2025'!K:K)</f>
        <v>L-9</v>
      </c>
    </row>
    <row r="32" spans="1:11" x14ac:dyDescent="0.3">
      <c r="A32" s="1">
        <v>31</v>
      </c>
      <c r="B32" s="1">
        <v>31</v>
      </c>
      <c r="C32" s="1" t="s">
        <v>54</v>
      </c>
      <c r="D32" s="1" t="s">
        <v>564</v>
      </c>
      <c r="E32" s="1" t="s">
        <v>55</v>
      </c>
      <c r="F32" s="5" t="str">
        <f>_xlfn.XLOOKUP(C32,'January 2025'!C:C,'January 2025'!F:F)</f>
        <v>Manufacturing</v>
      </c>
      <c r="G32" s="1">
        <v>15000</v>
      </c>
      <c r="H32" s="1">
        <v>13663</v>
      </c>
      <c r="I32" s="1">
        <v>1326</v>
      </c>
      <c r="J32" s="1">
        <v>488</v>
      </c>
      <c r="K32" s="1" t="s">
        <v>554</v>
      </c>
    </row>
    <row r="33" spans="1:11" x14ac:dyDescent="0.3">
      <c r="A33" s="1">
        <v>32</v>
      </c>
      <c r="B33" s="1">
        <v>32</v>
      </c>
      <c r="C33" s="1" t="s">
        <v>56</v>
      </c>
      <c r="D33" s="1" t="s">
        <v>564</v>
      </c>
      <c r="E33" s="1" t="s">
        <v>41</v>
      </c>
      <c r="F33" s="5" t="str">
        <f>_xlfn.XLOOKUP(B33,'April 2025'!B:B,'April 2025'!F:F)</f>
        <v>Manufacturing</v>
      </c>
      <c r="G33" s="1">
        <v>25000</v>
      </c>
      <c r="H33" s="1">
        <v>25000</v>
      </c>
      <c r="I33" s="1">
        <v>0</v>
      </c>
      <c r="J33" s="1">
        <v>0</v>
      </c>
      <c r="K33" s="1" t="str">
        <f>_xlfn.XLOOKUP(C33,'April 2025'!C:C,'April 2025'!K:K)</f>
        <v>L-8</v>
      </c>
    </row>
    <row r="34" spans="1:11" x14ac:dyDescent="0.3">
      <c r="A34" s="1">
        <v>33</v>
      </c>
      <c r="B34" s="1">
        <v>33</v>
      </c>
      <c r="C34" s="1" t="s">
        <v>57</v>
      </c>
      <c r="D34" s="1" t="s">
        <v>564</v>
      </c>
      <c r="E34" s="1" t="s">
        <v>58</v>
      </c>
      <c r="F34" s="5" t="str">
        <f>_xlfn.XLOOKUP(B34,'April 2025'!B:B,'April 2025'!F:F)</f>
        <v>D2C</v>
      </c>
      <c r="G34" s="1">
        <v>31000</v>
      </c>
      <c r="H34" s="1">
        <v>31000</v>
      </c>
      <c r="I34" s="1">
        <v>0</v>
      </c>
      <c r="J34" s="1">
        <v>0</v>
      </c>
      <c r="K34" s="1" t="str">
        <f>_xlfn.XLOOKUP(C34,'April 2025'!C:C,'April 2025'!K:K)</f>
        <v>L-6</v>
      </c>
    </row>
    <row r="35" spans="1:11" x14ac:dyDescent="0.3">
      <c r="A35" s="1">
        <v>34</v>
      </c>
      <c r="B35" s="1">
        <v>37</v>
      </c>
      <c r="C35" s="1" t="s">
        <v>59</v>
      </c>
      <c r="D35" s="1" t="s">
        <v>564</v>
      </c>
      <c r="E35" s="1" t="s">
        <v>41</v>
      </c>
      <c r="F35" s="5" t="str">
        <f>_xlfn.XLOOKUP(B35,'April 2025'!B:B,'April 2025'!F:F)</f>
        <v>Overseas</v>
      </c>
      <c r="G35" s="1">
        <v>18000</v>
      </c>
      <c r="H35" s="1">
        <v>16353</v>
      </c>
      <c r="I35" s="1">
        <v>1638</v>
      </c>
      <c r="J35" s="1">
        <v>585</v>
      </c>
      <c r="K35" s="1" t="str">
        <f>_xlfn.XLOOKUP(C35,'April 2025'!C:C,'April 2025'!K:K)</f>
        <v>L-6</v>
      </c>
    </row>
    <row r="36" spans="1:11" x14ac:dyDescent="0.3">
      <c r="A36" s="1">
        <v>35</v>
      </c>
      <c r="B36" s="1">
        <v>35</v>
      </c>
      <c r="C36" s="1" t="s">
        <v>60</v>
      </c>
      <c r="D36" s="1" t="s">
        <v>564</v>
      </c>
      <c r="E36" s="1" t="s">
        <v>61</v>
      </c>
      <c r="F36" s="5" t="str">
        <f>_xlfn.XLOOKUP(C36,'January 2025'!C:C,'January 2025'!F:F)</f>
        <v>Manufacturing</v>
      </c>
      <c r="G36" s="1">
        <v>13500</v>
      </c>
      <c r="H36" s="1">
        <v>12264</v>
      </c>
      <c r="I36" s="1">
        <v>1229</v>
      </c>
      <c r="J36" s="1">
        <v>439</v>
      </c>
      <c r="K36" s="1" t="s">
        <v>556</v>
      </c>
    </row>
    <row r="37" spans="1:11" x14ac:dyDescent="0.3">
      <c r="A37" s="1">
        <v>36</v>
      </c>
      <c r="B37" s="1">
        <v>39</v>
      </c>
      <c r="C37" s="1" t="s">
        <v>62</v>
      </c>
      <c r="D37" s="1" t="s">
        <v>564</v>
      </c>
      <c r="E37" s="1" t="s">
        <v>35</v>
      </c>
      <c r="F37" s="5" t="str">
        <f>_xlfn.XLOOKUP(B37,'April 2025'!B:B,'April 2025'!F:F)</f>
        <v>Manufacturing</v>
      </c>
      <c r="G37" s="1">
        <v>12500</v>
      </c>
      <c r="H37" s="1">
        <v>11356</v>
      </c>
      <c r="I37" s="1">
        <v>1138</v>
      </c>
      <c r="J37" s="1">
        <v>407</v>
      </c>
      <c r="K37" s="1" t="str">
        <f>_xlfn.XLOOKUP(C37,'April 2025'!C:C,'April 2025'!K:K)</f>
        <v>L-9</v>
      </c>
    </row>
    <row r="38" spans="1:11" x14ac:dyDescent="0.3">
      <c r="A38" s="1">
        <v>37</v>
      </c>
      <c r="B38" s="1">
        <v>37</v>
      </c>
      <c r="C38" s="1" t="s">
        <v>63</v>
      </c>
      <c r="D38" s="1" t="s">
        <v>564</v>
      </c>
      <c r="E38" s="1" t="s">
        <v>64</v>
      </c>
      <c r="F38" s="5" t="str">
        <f>_xlfn.XLOOKUP(B38,'April 2025'!B:B,'April 2025'!F:F)</f>
        <v>Overseas</v>
      </c>
      <c r="G38" s="1">
        <v>40000</v>
      </c>
      <c r="H38" s="1">
        <v>40000</v>
      </c>
      <c r="I38" s="1">
        <v>0</v>
      </c>
      <c r="J38" s="1">
        <v>0</v>
      </c>
      <c r="K38" s="1" t="str">
        <f>_xlfn.XLOOKUP(C38,'April 2025'!C:C,'April 2025'!K:K)</f>
        <v>L-6</v>
      </c>
    </row>
    <row r="39" spans="1:11" x14ac:dyDescent="0.3">
      <c r="A39" s="1">
        <v>38</v>
      </c>
      <c r="B39" s="1">
        <v>38</v>
      </c>
      <c r="C39" s="1" t="s">
        <v>65</v>
      </c>
      <c r="D39" s="1" t="s">
        <v>564</v>
      </c>
      <c r="E39" s="1" t="s">
        <v>558</v>
      </c>
      <c r="F39" s="5" t="str">
        <f>_xlfn.XLOOKUP(B39,'April 2025'!B:B,'April 2025'!F:F)</f>
        <v xml:space="preserve">Admin </v>
      </c>
      <c r="G39" s="1">
        <v>41000</v>
      </c>
      <c r="H39" s="1">
        <v>41000</v>
      </c>
      <c r="I39" s="1">
        <v>0</v>
      </c>
      <c r="J39" s="1">
        <v>0</v>
      </c>
      <c r="K39" s="1" t="str">
        <f>_xlfn.XLOOKUP(C39,'April 2025'!C:C,'April 2025'!K:K)</f>
        <v>L-5</v>
      </c>
    </row>
    <row r="40" spans="1:11" x14ac:dyDescent="0.3">
      <c r="A40" s="1">
        <v>39</v>
      </c>
      <c r="B40" s="1">
        <v>39</v>
      </c>
      <c r="C40" s="1" t="s">
        <v>66</v>
      </c>
      <c r="D40" s="1" t="s">
        <v>564</v>
      </c>
      <c r="E40" s="1" t="s">
        <v>67</v>
      </c>
      <c r="F40" s="5" t="str">
        <f>_xlfn.XLOOKUP(B40,'April 2025'!B:B,'April 2025'!F:F)</f>
        <v>Manufacturing</v>
      </c>
      <c r="G40" s="1">
        <v>30000</v>
      </c>
      <c r="H40" s="1">
        <v>30000</v>
      </c>
      <c r="I40" s="1">
        <v>0</v>
      </c>
      <c r="J40" s="1">
        <v>0</v>
      </c>
      <c r="K40" s="1" t="str">
        <f>_xlfn.XLOOKUP(C40,'April 2025'!C:C,'April 2025'!K:K)</f>
        <v>L-9</v>
      </c>
    </row>
    <row r="41" spans="1:11" x14ac:dyDescent="0.3">
      <c r="A41" s="1">
        <v>40</v>
      </c>
      <c r="B41" s="1">
        <v>40</v>
      </c>
      <c r="C41" s="1" t="s">
        <v>68</v>
      </c>
      <c r="D41" s="1" t="s">
        <v>564</v>
      </c>
      <c r="E41" s="1" t="s">
        <v>67</v>
      </c>
      <c r="F41" s="5" t="str">
        <f>_xlfn.XLOOKUP(B41,'April 2025'!B:B,'April 2025'!F:F)</f>
        <v>Manufacturing</v>
      </c>
      <c r="G41" s="1">
        <v>30000</v>
      </c>
      <c r="H41" s="1">
        <v>30000</v>
      </c>
      <c r="I41" s="1">
        <v>0</v>
      </c>
      <c r="J41" s="1">
        <v>0</v>
      </c>
      <c r="K41" s="1" t="str">
        <f>_xlfn.XLOOKUP(C41,'April 2025'!C:C,'April 2025'!K:K)</f>
        <v>L-9</v>
      </c>
    </row>
    <row r="42" spans="1:11" x14ac:dyDescent="0.3">
      <c r="A42" s="1">
        <v>41</v>
      </c>
      <c r="B42" s="1">
        <v>41</v>
      </c>
      <c r="C42" s="1" t="s">
        <v>69</v>
      </c>
      <c r="D42" s="1" t="s">
        <v>564</v>
      </c>
      <c r="E42" s="1" t="s">
        <v>67</v>
      </c>
      <c r="F42" s="5" t="str">
        <f>_xlfn.XLOOKUP(B42,'April 2025'!B:B,'April 2025'!F:F)</f>
        <v>Manufacturing</v>
      </c>
      <c r="G42" s="1">
        <v>30000</v>
      </c>
      <c r="H42" s="1">
        <v>30000</v>
      </c>
      <c r="I42" s="1">
        <v>0</v>
      </c>
      <c r="J42" s="1">
        <v>0</v>
      </c>
      <c r="K42" s="1" t="str">
        <f>_xlfn.XLOOKUP(C42,'April 2025'!C:C,'April 2025'!K:K)</f>
        <v>L-9</v>
      </c>
    </row>
    <row r="43" spans="1:11" x14ac:dyDescent="0.3">
      <c r="A43" s="1">
        <v>42</v>
      </c>
      <c r="B43" s="1">
        <v>42</v>
      </c>
      <c r="C43" s="1" t="s">
        <v>70</v>
      </c>
      <c r="D43" s="1" t="s">
        <v>564</v>
      </c>
      <c r="E43" s="1" t="s">
        <v>67</v>
      </c>
      <c r="F43" s="5" t="str">
        <f>_xlfn.XLOOKUP(B43,'April 2025'!B:B,'April 2025'!F:F)</f>
        <v>Manufacturing</v>
      </c>
      <c r="G43" s="1">
        <v>30000</v>
      </c>
      <c r="H43" s="1">
        <v>30000</v>
      </c>
      <c r="I43" s="1">
        <v>0</v>
      </c>
      <c r="J43" s="1">
        <v>0</v>
      </c>
      <c r="K43" s="1" t="str">
        <f>_xlfn.XLOOKUP(C43,'April 2025'!C:C,'April 2025'!K:K)</f>
        <v>L-9</v>
      </c>
    </row>
    <row r="44" spans="1:11" x14ac:dyDescent="0.3">
      <c r="A44" s="1">
        <v>43</v>
      </c>
      <c r="B44" s="1">
        <v>43</v>
      </c>
      <c r="C44" s="1" t="s">
        <v>71</v>
      </c>
      <c r="D44" s="1" t="s">
        <v>564</v>
      </c>
      <c r="E44" s="1" t="s">
        <v>67</v>
      </c>
      <c r="F44" s="5" t="str">
        <f>_xlfn.XLOOKUP(B44,'April 2025'!B:B,'April 2025'!F:F)</f>
        <v>Manufacturing</v>
      </c>
      <c r="G44" s="1">
        <v>30000</v>
      </c>
      <c r="H44" s="1">
        <v>30000</v>
      </c>
      <c r="I44" s="1">
        <v>0</v>
      </c>
      <c r="J44" s="1">
        <v>0</v>
      </c>
      <c r="K44" s="1" t="str">
        <f>_xlfn.XLOOKUP(C44,'April 2025'!C:C,'April 2025'!K:K)</f>
        <v>L-9</v>
      </c>
    </row>
    <row r="45" spans="1:11" x14ac:dyDescent="0.3">
      <c r="A45" s="1">
        <v>44</v>
      </c>
      <c r="B45" s="1">
        <v>44</v>
      </c>
      <c r="C45" s="1" t="s">
        <v>72</v>
      </c>
      <c r="D45" s="1" t="s">
        <v>564</v>
      </c>
      <c r="E45" s="1" t="s">
        <v>67</v>
      </c>
      <c r="F45" s="5" t="str">
        <f>_xlfn.XLOOKUP(B45,'April 2025'!B:B,'April 2025'!F:F)</f>
        <v>Manufacturing</v>
      </c>
      <c r="G45" s="1">
        <v>30000</v>
      </c>
      <c r="H45" s="1">
        <v>30000</v>
      </c>
      <c r="I45" s="1">
        <v>0</v>
      </c>
      <c r="J45" s="1">
        <v>0</v>
      </c>
      <c r="K45" s="1" t="str">
        <f>_xlfn.XLOOKUP(C45,'April 2025'!C:C,'April 2025'!K:K)</f>
        <v>L-9</v>
      </c>
    </row>
    <row r="46" spans="1:11" x14ac:dyDescent="0.3">
      <c r="A46" s="1">
        <v>45</v>
      </c>
      <c r="B46" s="1">
        <v>49</v>
      </c>
      <c r="C46" s="1" t="s">
        <v>73</v>
      </c>
      <c r="D46" s="1" t="s">
        <v>564</v>
      </c>
      <c r="E46" s="1" t="s">
        <v>67</v>
      </c>
      <c r="F46" s="5" t="str">
        <f>_xlfn.XLOOKUP(B46,'April 2025'!B:B,'April 2025'!F:F)</f>
        <v>Manufacturing</v>
      </c>
      <c r="G46" s="1">
        <v>30000</v>
      </c>
      <c r="H46" s="1">
        <v>30000</v>
      </c>
      <c r="I46" s="1">
        <v>0</v>
      </c>
      <c r="J46" s="1">
        <v>0</v>
      </c>
      <c r="K46" s="1" t="str">
        <f>_xlfn.XLOOKUP(C46,'April 2025'!C:C,'April 2025'!K:K)</f>
        <v>L-9</v>
      </c>
    </row>
    <row r="47" spans="1:11" x14ac:dyDescent="0.3">
      <c r="A47" s="1">
        <v>46</v>
      </c>
      <c r="B47" s="1">
        <v>46</v>
      </c>
      <c r="C47" s="1" t="s">
        <v>74</v>
      </c>
      <c r="D47" s="1" t="s">
        <v>564</v>
      </c>
      <c r="E47" s="1" t="s">
        <v>42</v>
      </c>
      <c r="F47" s="5" t="str">
        <f>_xlfn.XLOOKUP(B47,'April 2025'!B:B,'April 2025'!F:F)</f>
        <v>Overseas</v>
      </c>
      <c r="G47" s="1">
        <v>80000</v>
      </c>
      <c r="H47" s="1">
        <v>80000</v>
      </c>
      <c r="I47" s="1">
        <v>0</v>
      </c>
      <c r="J47" s="1">
        <v>0</v>
      </c>
      <c r="K47" s="1" t="str">
        <f>_xlfn.XLOOKUP(C47,'April 2025'!C:C,'April 2025'!K:K)</f>
        <v>L-5</v>
      </c>
    </row>
    <row r="48" spans="1:11" x14ac:dyDescent="0.3">
      <c r="A48" s="1">
        <v>47</v>
      </c>
      <c r="B48" s="1">
        <v>47</v>
      </c>
      <c r="C48" s="1" t="s">
        <v>75</v>
      </c>
      <c r="D48" s="1" t="s">
        <v>564</v>
      </c>
      <c r="E48" s="1" t="s">
        <v>76</v>
      </c>
      <c r="F48" s="5" t="str">
        <f>_xlfn.XLOOKUP(C48,'[1]March 2025'!$C:$C,'[1]March 2025'!$I:$I,"")</f>
        <v>D2C</v>
      </c>
      <c r="G48" s="1">
        <v>19000</v>
      </c>
      <c r="H48" s="1">
        <v>18857</v>
      </c>
      <c r="I48" s="1">
        <v>0</v>
      </c>
      <c r="J48" s="1">
        <v>618</v>
      </c>
      <c r="K48" s="1" t="s">
        <v>553</v>
      </c>
    </row>
    <row r="49" spans="1:11" x14ac:dyDescent="0.3">
      <c r="A49" s="1">
        <v>48</v>
      </c>
      <c r="B49" s="1">
        <v>48</v>
      </c>
      <c r="C49" s="1" t="s">
        <v>77</v>
      </c>
      <c r="D49" s="1" t="s">
        <v>564</v>
      </c>
      <c r="E49" s="1" t="s">
        <v>67</v>
      </c>
      <c r="F49" s="5" t="str">
        <f>_xlfn.XLOOKUP(B49,'April 2025'!B:B,'April 2025'!F:F)</f>
        <v>Manufacturing</v>
      </c>
      <c r="G49" s="1">
        <v>30000</v>
      </c>
      <c r="H49" s="1">
        <v>30000</v>
      </c>
      <c r="I49" s="1">
        <v>0</v>
      </c>
      <c r="J49" s="1">
        <v>0</v>
      </c>
      <c r="K49" s="1" t="str">
        <f>_xlfn.XLOOKUP(C49,'April 2025'!C:C,'April 2025'!K:K)</f>
        <v>L-9</v>
      </c>
    </row>
    <row r="50" spans="1:11" x14ac:dyDescent="0.3">
      <c r="A50" s="1">
        <v>49</v>
      </c>
      <c r="B50" s="1">
        <v>49</v>
      </c>
      <c r="C50" s="1" t="s">
        <v>78</v>
      </c>
      <c r="D50" s="1" t="s">
        <v>564</v>
      </c>
      <c r="E50" s="1" t="s">
        <v>67</v>
      </c>
      <c r="F50" s="5" t="str">
        <f>_xlfn.XLOOKUP(B50,'April 2025'!B:B,'April 2025'!F:F)</f>
        <v>Manufacturing</v>
      </c>
      <c r="G50" s="1">
        <v>30000</v>
      </c>
      <c r="H50" s="1">
        <v>30000</v>
      </c>
      <c r="I50" s="1">
        <v>0</v>
      </c>
      <c r="J50" s="1">
        <v>0</v>
      </c>
      <c r="K50" s="1" t="str">
        <f>_xlfn.XLOOKUP(C50,'April 2025'!C:C,'April 2025'!K:K)</f>
        <v>L-9</v>
      </c>
    </row>
    <row r="51" spans="1:11" x14ac:dyDescent="0.3">
      <c r="A51" s="1">
        <v>50</v>
      </c>
      <c r="B51" s="1">
        <v>10001</v>
      </c>
      <c r="C51" s="1" t="s">
        <v>79</v>
      </c>
      <c r="D51" s="1" t="s">
        <v>565</v>
      </c>
      <c r="E51" s="1" t="s">
        <v>53</v>
      </c>
      <c r="F51" s="5" t="str">
        <f>_xlfn.XLOOKUP(C51,'January 2025'!C:C,'January 2025'!F:F)</f>
        <v>Manufacturing</v>
      </c>
      <c r="G51" s="1">
        <v>11000</v>
      </c>
      <c r="H51" s="1">
        <v>11000</v>
      </c>
      <c r="I51" s="1">
        <v>0</v>
      </c>
      <c r="J51" s="1">
        <v>0</v>
      </c>
      <c r="K51" s="1" t="s">
        <v>557</v>
      </c>
    </row>
    <row r="52" spans="1:11" x14ac:dyDescent="0.3">
      <c r="A52" s="1">
        <v>51</v>
      </c>
      <c r="B52" s="1">
        <v>10002</v>
      </c>
      <c r="C52" s="1" t="s">
        <v>80</v>
      </c>
      <c r="D52" s="1" t="s">
        <v>565</v>
      </c>
      <c r="E52" s="1" t="s">
        <v>61</v>
      </c>
      <c r="F52" s="5" t="str">
        <f>_xlfn.XLOOKUP(B52,'April 2025'!B:B,'April 2025'!F:F)</f>
        <v>Domestic</v>
      </c>
      <c r="G52" s="1">
        <v>15400</v>
      </c>
      <c r="H52" s="1">
        <v>15400</v>
      </c>
      <c r="I52" s="1">
        <v>0</v>
      </c>
      <c r="J52" s="1">
        <v>0</v>
      </c>
      <c r="K52" s="1" t="str">
        <f>_xlfn.XLOOKUP(C52,'April 2025'!C:C,'April 2025'!K:K)</f>
        <v>L-10</v>
      </c>
    </row>
    <row r="53" spans="1:11" x14ac:dyDescent="0.3">
      <c r="A53" s="1">
        <v>52</v>
      </c>
      <c r="B53" s="1">
        <v>18</v>
      </c>
      <c r="C53" s="1" t="s">
        <v>81</v>
      </c>
      <c r="D53" s="1" t="s">
        <v>565</v>
      </c>
      <c r="E53" s="1" t="s">
        <v>82</v>
      </c>
      <c r="F53" s="5" t="str">
        <f>_xlfn.XLOOKUP(C53,'January 2025'!C:C,'January 2025'!F:F)</f>
        <v>Manufacturing</v>
      </c>
      <c r="G53" s="1">
        <v>22000</v>
      </c>
      <c r="H53" s="1">
        <v>22000</v>
      </c>
      <c r="I53" s="1">
        <v>0</v>
      </c>
      <c r="J53" s="1">
        <v>0</v>
      </c>
      <c r="K53" s="1" t="s">
        <v>556</v>
      </c>
    </row>
    <row r="54" spans="1:11" x14ac:dyDescent="0.3">
      <c r="A54" s="1">
        <v>53</v>
      </c>
      <c r="B54" s="1">
        <v>10004</v>
      </c>
      <c r="C54" s="1" t="s">
        <v>83</v>
      </c>
      <c r="D54" s="1" t="s">
        <v>565</v>
      </c>
      <c r="E54" s="1" t="s">
        <v>21</v>
      </c>
      <c r="F54" s="5" t="str">
        <f>_xlfn.XLOOKUP(B54,'April 2025'!B:B,'April 2025'!F:F)</f>
        <v>Manufacturing</v>
      </c>
      <c r="G54" s="1">
        <v>17000</v>
      </c>
      <c r="H54" s="1">
        <v>17000</v>
      </c>
      <c r="I54" s="1">
        <v>0</v>
      </c>
      <c r="J54" s="1">
        <v>0</v>
      </c>
      <c r="K54" s="1" t="str">
        <f>_xlfn.XLOOKUP(C54,'April 2025'!C:C,'April 2025'!K:K)</f>
        <v>L-9</v>
      </c>
    </row>
    <row r="55" spans="1:11" x14ac:dyDescent="0.3">
      <c r="A55" s="1">
        <v>54</v>
      </c>
      <c r="B55" s="1">
        <v>10005</v>
      </c>
      <c r="C55" s="1" t="s">
        <v>84</v>
      </c>
      <c r="D55" s="1" t="s">
        <v>565</v>
      </c>
      <c r="E55" s="1" t="s">
        <v>55</v>
      </c>
      <c r="F55" s="5" t="str">
        <f>_xlfn.XLOOKUP(B55,'April 2025'!B:B,'April 2025'!F:F)</f>
        <v>Manufacturing</v>
      </c>
      <c r="G55" s="1">
        <v>16000</v>
      </c>
      <c r="H55" s="1">
        <v>16000</v>
      </c>
      <c r="I55" s="1">
        <v>0</v>
      </c>
      <c r="J55" s="1">
        <v>0</v>
      </c>
      <c r="K55" s="1" t="str">
        <f>_xlfn.XLOOKUP(C55,'April 2025'!C:C,'April 2025'!K:K)</f>
        <v>L-8</v>
      </c>
    </row>
    <row r="56" spans="1:11" x14ac:dyDescent="0.3">
      <c r="A56" s="1">
        <v>55</v>
      </c>
      <c r="B56" s="1">
        <v>10006</v>
      </c>
      <c r="C56" s="1" t="s">
        <v>85</v>
      </c>
      <c r="D56" s="1" t="s">
        <v>565</v>
      </c>
      <c r="E56" s="1" t="s">
        <v>12</v>
      </c>
      <c r="F56" s="5" t="str">
        <f>_xlfn.XLOOKUP(B56,'April 2025'!B:B,'April 2025'!F:F)</f>
        <v>Manufacturing</v>
      </c>
      <c r="G56" s="1">
        <v>16000</v>
      </c>
      <c r="H56" s="1">
        <v>16000</v>
      </c>
      <c r="I56" s="1">
        <v>0</v>
      </c>
      <c r="J56" s="1">
        <v>0</v>
      </c>
      <c r="K56" s="1" t="str">
        <f>_xlfn.XLOOKUP(C56,'April 2025'!C:C,'April 2025'!K:K)</f>
        <v>L-9</v>
      </c>
    </row>
    <row r="57" spans="1:11" x14ac:dyDescent="0.3">
      <c r="A57" s="1">
        <v>56</v>
      </c>
      <c r="B57" s="1">
        <v>10007</v>
      </c>
      <c r="C57" s="1" t="s">
        <v>86</v>
      </c>
      <c r="D57" s="1" t="s">
        <v>565</v>
      </c>
      <c r="E57" s="1" t="s">
        <v>10</v>
      </c>
      <c r="F57" s="5" t="str">
        <f>_xlfn.XLOOKUP(B57,'April 2025'!B:B,'April 2025'!F:F)</f>
        <v>Overseas</v>
      </c>
      <c r="G57" s="1">
        <v>13500</v>
      </c>
      <c r="H57" s="1">
        <v>13500</v>
      </c>
      <c r="I57" s="1">
        <v>0</v>
      </c>
      <c r="J57" s="1">
        <v>0</v>
      </c>
      <c r="K57" s="1" t="str">
        <f>_xlfn.XLOOKUP(C57,'April 2025'!C:C,'April 2025'!K:K)</f>
        <v>L-8</v>
      </c>
    </row>
    <row r="58" spans="1:11" x14ac:dyDescent="0.3">
      <c r="A58" s="1">
        <v>57</v>
      </c>
      <c r="B58" s="1">
        <v>10008</v>
      </c>
      <c r="C58" s="1" t="s">
        <v>87</v>
      </c>
      <c r="D58" s="1" t="s">
        <v>565</v>
      </c>
      <c r="E58" s="1" t="s">
        <v>88</v>
      </c>
      <c r="F58" s="5" t="str">
        <f>_xlfn.XLOOKUP(B58,'April 2025'!B:B,'April 2025'!F:F)</f>
        <v>Domestic</v>
      </c>
      <c r="G58" s="1">
        <v>10000</v>
      </c>
      <c r="H58" s="1">
        <v>10000</v>
      </c>
      <c r="I58" s="1">
        <v>0</v>
      </c>
      <c r="J58" s="1">
        <v>0</v>
      </c>
      <c r="K58" s="1" t="str">
        <f>_xlfn.XLOOKUP(C58,'April 2025'!C:C,'April 2025'!K:K)</f>
        <v>L-10</v>
      </c>
    </row>
    <row r="59" spans="1:11" x14ac:dyDescent="0.3">
      <c r="A59" s="1">
        <v>58</v>
      </c>
      <c r="B59" s="1">
        <v>10009</v>
      </c>
      <c r="C59" s="1" t="s">
        <v>89</v>
      </c>
      <c r="D59" s="1" t="s">
        <v>565</v>
      </c>
      <c r="E59" s="1" t="s">
        <v>53</v>
      </c>
      <c r="F59" s="5" t="str">
        <f>_xlfn.XLOOKUP(B59,'April 2025'!B:B,'April 2025'!F:F)</f>
        <v>Manufacturing</v>
      </c>
      <c r="G59" s="1">
        <v>11500</v>
      </c>
      <c r="H59" s="1">
        <v>11500</v>
      </c>
      <c r="I59" s="1">
        <v>0</v>
      </c>
      <c r="J59" s="1">
        <v>0</v>
      </c>
      <c r="K59" s="1" t="str">
        <f>_xlfn.XLOOKUP(C59,'April 2025'!C:C,'April 2025'!K:K)</f>
        <v>L-10</v>
      </c>
    </row>
    <row r="60" spans="1:11" x14ac:dyDescent="0.3">
      <c r="A60" s="1">
        <v>59</v>
      </c>
      <c r="B60" s="1">
        <v>10010</v>
      </c>
      <c r="C60" s="1" t="s">
        <v>90</v>
      </c>
      <c r="D60" s="1" t="s">
        <v>565</v>
      </c>
      <c r="E60" s="1" t="s">
        <v>35</v>
      </c>
      <c r="F60" s="5" t="str">
        <f>_xlfn.XLOOKUP(C60,'January 2025'!C:C,'January 2025'!F:F)</f>
        <v>Manufacturing</v>
      </c>
      <c r="G60" s="1">
        <v>14500</v>
      </c>
      <c r="H60" s="1">
        <v>14500</v>
      </c>
      <c r="I60" s="1">
        <v>0</v>
      </c>
      <c r="J60" s="1">
        <v>0</v>
      </c>
      <c r="K60" s="1" t="s">
        <v>556</v>
      </c>
    </row>
    <row r="61" spans="1:11" x14ac:dyDescent="0.3">
      <c r="A61" s="1">
        <v>60</v>
      </c>
      <c r="B61" s="1">
        <v>10011</v>
      </c>
      <c r="C61" s="1" t="s">
        <v>91</v>
      </c>
      <c r="D61" s="1" t="s">
        <v>565</v>
      </c>
      <c r="E61" s="1" t="s">
        <v>55</v>
      </c>
      <c r="F61" s="5" t="str">
        <f>_xlfn.XLOOKUP(C61,'January 2025'!C:C,'January 2025'!F:F)</f>
        <v>Manufacturing</v>
      </c>
      <c r="G61" s="1">
        <v>13500</v>
      </c>
      <c r="H61" s="1">
        <v>13500</v>
      </c>
      <c r="I61" s="1">
        <v>0</v>
      </c>
      <c r="J61" s="1">
        <v>0</v>
      </c>
      <c r="K61" s="1" t="s">
        <v>554</v>
      </c>
    </row>
    <row r="62" spans="1:11" x14ac:dyDescent="0.3">
      <c r="A62" s="1">
        <v>61</v>
      </c>
      <c r="B62" s="1">
        <v>10012</v>
      </c>
      <c r="C62" s="1" t="s">
        <v>92</v>
      </c>
      <c r="D62" s="1" t="s">
        <v>567</v>
      </c>
      <c r="E62" s="1" t="s">
        <v>93</v>
      </c>
      <c r="F62" s="5" t="str">
        <f>_xlfn.XLOOKUP(B62,'April 2025'!B:B,'April 2025'!F:F)</f>
        <v>Manufacturing</v>
      </c>
      <c r="G62" s="1">
        <v>14000</v>
      </c>
      <c r="H62" s="1">
        <v>14000</v>
      </c>
      <c r="I62" s="1">
        <v>0</v>
      </c>
      <c r="J62" s="1">
        <v>0</v>
      </c>
      <c r="K62" s="1" t="str">
        <f>_xlfn.XLOOKUP(C62,'April 2025'!C:C,'April 2025'!K:K)</f>
        <v>L-10</v>
      </c>
    </row>
    <row r="63" spans="1:11" x14ac:dyDescent="0.3">
      <c r="A63" s="1">
        <v>62</v>
      </c>
      <c r="B63" s="1">
        <v>10013</v>
      </c>
      <c r="C63" s="1" t="s">
        <v>94</v>
      </c>
      <c r="D63" s="1" t="s">
        <v>565</v>
      </c>
      <c r="E63" s="1" t="s">
        <v>10</v>
      </c>
      <c r="F63" s="5" t="str">
        <f>_xlfn.XLOOKUP(B63,'April 2025'!B:B,'April 2025'!F:F)</f>
        <v>Office Support</v>
      </c>
      <c r="G63" s="1">
        <v>13500</v>
      </c>
      <c r="H63" s="1">
        <v>13500</v>
      </c>
      <c r="I63" s="1">
        <v>0</v>
      </c>
      <c r="J63" s="1">
        <v>0</v>
      </c>
      <c r="K63" s="1" t="str">
        <f>_xlfn.XLOOKUP(C63,'April 2025'!C:C,'April 2025'!K:K)</f>
        <v>L-8</v>
      </c>
    </row>
    <row r="64" spans="1:11" x14ac:dyDescent="0.3">
      <c r="A64" s="1">
        <v>63</v>
      </c>
      <c r="B64" s="1">
        <v>10014</v>
      </c>
      <c r="C64" s="1" t="s">
        <v>95</v>
      </c>
      <c r="D64" s="1" t="s">
        <v>565</v>
      </c>
      <c r="E64" s="1" t="s">
        <v>53</v>
      </c>
      <c r="F64" s="5" t="str">
        <f>_xlfn.XLOOKUP(B64,'April 2025'!B:B,'April 2025'!F:F)</f>
        <v>Office Support</v>
      </c>
      <c r="G64" s="1">
        <v>12000</v>
      </c>
      <c r="H64" s="1">
        <v>12000</v>
      </c>
      <c r="I64" s="1">
        <v>0</v>
      </c>
      <c r="J64" s="1">
        <v>0</v>
      </c>
      <c r="K64" s="1" t="str">
        <f>_xlfn.XLOOKUP(C64,'April 2025'!C:C,'April 2025'!K:K)</f>
        <v>L-10</v>
      </c>
    </row>
    <row r="65" spans="1:11" x14ac:dyDescent="0.3">
      <c r="A65" s="1">
        <v>64</v>
      </c>
      <c r="B65" s="1">
        <v>10015</v>
      </c>
      <c r="C65" s="1" t="s">
        <v>96</v>
      </c>
      <c r="D65" s="1" t="s">
        <v>565</v>
      </c>
      <c r="E65" s="1" t="s">
        <v>35</v>
      </c>
      <c r="F65" s="5" t="str">
        <f>_xlfn.XLOOKUP(B65,'April 2025'!B:B,'April 2025'!F:F)</f>
        <v>Manufacturing</v>
      </c>
      <c r="G65" s="1">
        <v>14000</v>
      </c>
      <c r="H65" s="1">
        <v>14000</v>
      </c>
      <c r="I65" s="1">
        <v>0</v>
      </c>
      <c r="J65" s="1">
        <v>0</v>
      </c>
      <c r="K65" s="1" t="str">
        <f>_xlfn.XLOOKUP(C65,'April 2025'!C:C,'April 2025'!K:K)</f>
        <v>L-9</v>
      </c>
    </row>
    <row r="66" spans="1:11" x14ac:dyDescent="0.3">
      <c r="A66" s="1">
        <v>65</v>
      </c>
      <c r="B66" s="1">
        <v>10016</v>
      </c>
      <c r="C66" s="1" t="s">
        <v>97</v>
      </c>
      <c r="D66" s="1" t="s">
        <v>565</v>
      </c>
      <c r="E66" s="1" t="s">
        <v>10</v>
      </c>
      <c r="F66" s="5" t="str">
        <f>_xlfn.XLOOKUP(B66,'April 2025'!B:B,'April 2025'!F:F)</f>
        <v>Manufacturing</v>
      </c>
      <c r="G66" s="1">
        <v>13500</v>
      </c>
      <c r="H66" s="1">
        <v>13500</v>
      </c>
      <c r="I66" s="1">
        <v>0</v>
      </c>
      <c r="J66" s="1">
        <v>0</v>
      </c>
      <c r="K66" s="1" t="str">
        <f>_xlfn.XLOOKUP(C66,'April 2025'!C:C,'April 2025'!K:K)</f>
        <v>L-8</v>
      </c>
    </row>
    <row r="67" spans="1:11" x14ac:dyDescent="0.3">
      <c r="A67" s="1">
        <v>66</v>
      </c>
      <c r="B67" s="1">
        <v>10017</v>
      </c>
      <c r="C67" s="1" t="s">
        <v>98</v>
      </c>
      <c r="D67" s="1" t="s">
        <v>565</v>
      </c>
      <c r="E67" s="1" t="s">
        <v>53</v>
      </c>
      <c r="F67" s="5" t="str">
        <f>_xlfn.XLOOKUP(B67,'April 2025'!B:B,'April 2025'!F:F)</f>
        <v>Manufacturing</v>
      </c>
      <c r="G67" s="1">
        <v>13000</v>
      </c>
      <c r="H67" s="1">
        <v>13000</v>
      </c>
      <c r="I67" s="1">
        <v>0</v>
      </c>
      <c r="J67" s="1">
        <v>0</v>
      </c>
      <c r="K67" s="1" t="str">
        <f>_xlfn.XLOOKUP(C67,'April 2025'!C:C,'April 2025'!K:K)</f>
        <v>L-10</v>
      </c>
    </row>
    <row r="68" spans="1:11" x14ac:dyDescent="0.3">
      <c r="A68" s="1">
        <v>67</v>
      </c>
      <c r="B68" s="1">
        <v>10018</v>
      </c>
      <c r="C68" s="1" t="s">
        <v>99</v>
      </c>
      <c r="D68" s="1" t="s">
        <v>565</v>
      </c>
      <c r="E68" s="1" t="s">
        <v>35</v>
      </c>
      <c r="F68" s="5" t="str">
        <f>_xlfn.XLOOKUP(B68,'April 2025'!B:B,'April 2025'!F:F)</f>
        <v>Manufacturing</v>
      </c>
      <c r="G68" s="1">
        <v>15700</v>
      </c>
      <c r="H68" s="1">
        <v>15700</v>
      </c>
      <c r="I68" s="1">
        <v>0</v>
      </c>
      <c r="J68" s="1">
        <v>0</v>
      </c>
      <c r="K68" s="1" t="str">
        <f>_xlfn.XLOOKUP(C68,'April 2025'!C:C,'April 2025'!K:K)</f>
        <v>L-9</v>
      </c>
    </row>
    <row r="69" spans="1:11" x14ac:dyDescent="0.3">
      <c r="A69" s="1">
        <v>68</v>
      </c>
      <c r="B69" s="1">
        <v>129</v>
      </c>
      <c r="C69" s="1" t="s">
        <v>100</v>
      </c>
      <c r="D69" s="1" t="s">
        <v>565</v>
      </c>
      <c r="E69" s="1" t="s">
        <v>61</v>
      </c>
      <c r="F69" s="5" t="str">
        <f>_xlfn.XLOOKUP(C69,'January 2025'!C:C,'January 2025'!F:F)</f>
        <v>Manufacturing</v>
      </c>
      <c r="G69" s="1">
        <v>11500</v>
      </c>
      <c r="H69" s="1">
        <v>11500</v>
      </c>
      <c r="I69" s="1">
        <v>0</v>
      </c>
      <c r="J69" s="1">
        <v>0</v>
      </c>
      <c r="K69" s="1" t="s">
        <v>556</v>
      </c>
    </row>
    <row r="70" spans="1:11" x14ac:dyDescent="0.3">
      <c r="A70" s="1">
        <v>69</v>
      </c>
      <c r="B70" s="1">
        <v>10020</v>
      </c>
      <c r="C70" s="1" t="s">
        <v>101</v>
      </c>
      <c r="D70" s="1" t="s">
        <v>565</v>
      </c>
      <c r="E70" s="1" t="s">
        <v>35</v>
      </c>
      <c r="F70" s="5" t="str">
        <f>_xlfn.XLOOKUP(B70,'April 2025'!B:B,'April 2025'!F:F)</f>
        <v>Manufacturing</v>
      </c>
      <c r="G70" s="1">
        <v>14500</v>
      </c>
      <c r="H70" s="1">
        <v>14500</v>
      </c>
      <c r="I70" s="1">
        <v>0</v>
      </c>
      <c r="J70" s="1">
        <v>0</v>
      </c>
      <c r="K70" s="1" t="str">
        <f>_xlfn.XLOOKUP(C70,'April 2025'!C:C,'April 2025'!K:K)</f>
        <v>L-9</v>
      </c>
    </row>
    <row r="71" spans="1:11" x14ac:dyDescent="0.3">
      <c r="A71" s="1">
        <v>70</v>
      </c>
      <c r="B71" s="1">
        <v>10021</v>
      </c>
      <c r="C71" s="1" t="s">
        <v>102</v>
      </c>
      <c r="D71" s="1" t="s">
        <v>565</v>
      </c>
      <c r="E71" s="1" t="s">
        <v>35</v>
      </c>
      <c r="F71" s="5" t="str">
        <f>_xlfn.XLOOKUP(B71,'April 2025'!B:B,'April 2025'!F:F)</f>
        <v>Manufacturing</v>
      </c>
      <c r="G71" s="1">
        <v>13000</v>
      </c>
      <c r="H71" s="1">
        <v>13000</v>
      </c>
      <c r="I71" s="1">
        <v>0</v>
      </c>
      <c r="J71" s="1">
        <v>0</v>
      </c>
      <c r="K71" s="1" t="str">
        <f>_xlfn.XLOOKUP(C71,'April 2025'!C:C,'April 2025'!K:K)</f>
        <v>L-9</v>
      </c>
    </row>
    <row r="72" spans="1:11" x14ac:dyDescent="0.3">
      <c r="A72" s="1">
        <v>71</v>
      </c>
      <c r="B72" s="1">
        <v>94</v>
      </c>
      <c r="C72" s="1" t="s">
        <v>103</v>
      </c>
      <c r="D72" s="1" t="s">
        <v>565</v>
      </c>
      <c r="E72" s="1" t="s">
        <v>10</v>
      </c>
      <c r="F72" s="5" t="str">
        <f>_xlfn.XLOOKUP(B72,'April 2025'!B:B,'April 2025'!F:F)</f>
        <v xml:space="preserve">Admin </v>
      </c>
      <c r="G72" s="1">
        <v>11000</v>
      </c>
      <c r="H72" s="1">
        <v>11000</v>
      </c>
      <c r="I72" s="1">
        <v>0</v>
      </c>
      <c r="J72" s="1">
        <v>0</v>
      </c>
      <c r="K72" s="1" t="str">
        <f>_xlfn.XLOOKUP(C72,'April 2025'!C:C,'April 2025'!K:K)</f>
        <v>L-9</v>
      </c>
    </row>
    <row r="73" spans="1:11" x14ac:dyDescent="0.3">
      <c r="A73" s="1">
        <v>72</v>
      </c>
      <c r="B73" s="1">
        <v>95</v>
      </c>
      <c r="C73" s="1" t="s">
        <v>104</v>
      </c>
      <c r="D73" s="1" t="s">
        <v>565</v>
      </c>
      <c r="E73" s="1" t="s">
        <v>35</v>
      </c>
      <c r="F73" s="5" t="str">
        <f>_xlfn.XLOOKUP(B73,'April 2025'!B:B,'April 2025'!F:F)</f>
        <v>Manufacturing</v>
      </c>
      <c r="G73" s="1">
        <v>11500</v>
      </c>
      <c r="H73" s="1">
        <v>11500</v>
      </c>
      <c r="I73" s="1">
        <v>0</v>
      </c>
      <c r="J73" s="1">
        <v>0</v>
      </c>
      <c r="K73" s="1" t="s">
        <v>556</v>
      </c>
    </row>
    <row r="74" spans="1:11" x14ac:dyDescent="0.3">
      <c r="A74" s="1">
        <v>73</v>
      </c>
      <c r="B74" s="1">
        <v>10024</v>
      </c>
      <c r="C74" s="1" t="s">
        <v>105</v>
      </c>
      <c r="D74" s="1" t="s">
        <v>565</v>
      </c>
      <c r="E74" s="1" t="s">
        <v>53</v>
      </c>
      <c r="F74" s="5" t="str">
        <f>_xlfn.XLOOKUP(C74,'January 2025'!C:C,'January 2025'!F:F)</f>
        <v>Domestic</v>
      </c>
      <c r="G74" s="1">
        <v>10500</v>
      </c>
      <c r="H74" s="1">
        <v>10500</v>
      </c>
      <c r="I74" s="1">
        <v>0</v>
      </c>
      <c r="J74" s="1">
        <v>0</v>
      </c>
      <c r="K74" s="1" t="s">
        <v>557</v>
      </c>
    </row>
    <row r="75" spans="1:11" x14ac:dyDescent="0.3">
      <c r="A75" s="1">
        <v>74</v>
      </c>
      <c r="B75" s="1">
        <v>10025</v>
      </c>
      <c r="C75" s="1" t="s">
        <v>106</v>
      </c>
      <c r="D75" s="1" t="s">
        <v>565</v>
      </c>
      <c r="E75" s="1" t="s">
        <v>53</v>
      </c>
      <c r="F75" s="5" t="str">
        <f>_xlfn.XLOOKUP(C75,'January 2025'!C:C,'January 2025'!F:F)</f>
        <v>Manufacturing</v>
      </c>
      <c r="G75" s="1">
        <v>10000</v>
      </c>
      <c r="H75" s="1">
        <v>10000</v>
      </c>
      <c r="I75" s="1">
        <v>0</v>
      </c>
      <c r="J75" s="1">
        <v>0</v>
      </c>
      <c r="K75" s="1" t="s">
        <v>557</v>
      </c>
    </row>
    <row r="76" spans="1:11" x14ac:dyDescent="0.3">
      <c r="A76" s="1">
        <v>75</v>
      </c>
      <c r="B76" s="1">
        <v>99</v>
      </c>
      <c r="C76" s="1" t="s">
        <v>107</v>
      </c>
      <c r="D76" s="1" t="s">
        <v>565</v>
      </c>
      <c r="E76" s="1" t="s">
        <v>10</v>
      </c>
      <c r="F76" s="5" t="str">
        <f>_xlfn.XLOOKUP(B76,'April 2025'!B:B,'April 2025'!F:F)</f>
        <v>Manufacturing</v>
      </c>
      <c r="G76" s="1">
        <v>12500</v>
      </c>
      <c r="H76" s="1">
        <v>12500</v>
      </c>
      <c r="I76" s="1">
        <v>0</v>
      </c>
      <c r="J76" s="1">
        <v>0</v>
      </c>
      <c r="K76" s="1" t="str">
        <f>_xlfn.XLOOKUP(C76,'April 2025'!C:C,'April 2025'!K:K)</f>
        <v>L-9</v>
      </c>
    </row>
    <row r="77" spans="1:11" x14ac:dyDescent="0.3">
      <c r="A77" s="1">
        <v>76</v>
      </c>
      <c r="B77" s="1">
        <v>10027</v>
      </c>
      <c r="C77" s="1" t="s">
        <v>108</v>
      </c>
      <c r="D77" s="1" t="s">
        <v>565</v>
      </c>
      <c r="E77" s="1" t="s">
        <v>64</v>
      </c>
      <c r="F77" s="5" t="str">
        <f>_xlfn.XLOOKUP(B77,'April 2025'!B:B,'April 2025'!F:F)</f>
        <v>Manufacturing</v>
      </c>
      <c r="G77" s="1">
        <v>6500</v>
      </c>
      <c r="H77" s="1">
        <v>6500</v>
      </c>
      <c r="I77" s="1">
        <v>0</v>
      </c>
      <c r="J77" s="1">
        <v>0</v>
      </c>
      <c r="K77" s="1" t="str">
        <f>_xlfn.XLOOKUP(C77,'April 2025'!C:C,'April 2025'!K:K)</f>
        <v>L-7</v>
      </c>
    </row>
    <row r="78" spans="1:11" x14ac:dyDescent="0.3">
      <c r="A78" s="1">
        <v>77</v>
      </c>
      <c r="B78" s="1">
        <v>105</v>
      </c>
      <c r="C78" s="1" t="s">
        <v>109</v>
      </c>
      <c r="D78" s="1" t="s">
        <v>565</v>
      </c>
      <c r="E78" s="1" t="s">
        <v>10</v>
      </c>
      <c r="F78" s="5" t="str">
        <f>_xlfn.XLOOKUP(B78,'April 2025'!B:B,'April 2025'!F:F)</f>
        <v>Manufacturing</v>
      </c>
      <c r="G78" s="1">
        <v>11500</v>
      </c>
      <c r="H78" s="1">
        <v>11500</v>
      </c>
      <c r="I78" s="1">
        <v>0</v>
      </c>
      <c r="J78" s="1">
        <v>0</v>
      </c>
      <c r="K78" s="1" t="str">
        <f>_xlfn.XLOOKUP(C78,'April 2025'!C:C,'April 2025'!K:K)</f>
        <v>L-5</v>
      </c>
    </row>
    <row r="79" spans="1:11" x14ac:dyDescent="0.3">
      <c r="A79" s="1">
        <v>78</v>
      </c>
      <c r="B79" s="1">
        <v>10029</v>
      </c>
      <c r="C79" s="1" t="s">
        <v>110</v>
      </c>
      <c r="D79" s="1" t="s">
        <v>565</v>
      </c>
      <c r="E79" s="1" t="s">
        <v>35</v>
      </c>
      <c r="F79" s="5" t="str">
        <f>_xlfn.XLOOKUP(C79,'January 2025'!C:C,'January 2025'!F:F)</f>
        <v>Manufacturing</v>
      </c>
      <c r="G79" s="1">
        <v>13000</v>
      </c>
      <c r="H79" s="1">
        <v>13000</v>
      </c>
      <c r="I79" s="1">
        <v>0</v>
      </c>
      <c r="J79" s="1">
        <v>0</v>
      </c>
      <c r="K79" s="1" t="s">
        <v>556</v>
      </c>
    </row>
    <row r="80" spans="1:11" x14ac:dyDescent="0.3">
      <c r="A80" s="1">
        <v>79</v>
      </c>
      <c r="B80" s="1">
        <v>114</v>
      </c>
      <c r="C80" s="1" t="s">
        <v>111</v>
      </c>
      <c r="D80" s="1" t="s">
        <v>565</v>
      </c>
      <c r="E80" s="1" t="s">
        <v>61</v>
      </c>
      <c r="F80" s="5" t="str">
        <f>_xlfn.XLOOKUP(B80,'April 2025'!B:B,'April 2025'!F:F)</f>
        <v>Manufacturing</v>
      </c>
      <c r="G80" s="1">
        <v>13500</v>
      </c>
      <c r="H80" s="1">
        <v>13500</v>
      </c>
      <c r="I80" s="1">
        <v>0</v>
      </c>
      <c r="J80" s="1">
        <v>0</v>
      </c>
      <c r="K80" s="1" t="str">
        <f>_xlfn.XLOOKUP(C80,'April 2025'!C:C,'April 2025'!K:K)</f>
        <v>L-9</v>
      </c>
    </row>
    <row r="81" spans="1:11" x14ac:dyDescent="0.3">
      <c r="A81" s="1">
        <v>80</v>
      </c>
      <c r="B81" s="1">
        <v>10031</v>
      </c>
      <c r="C81" s="1" t="s">
        <v>112</v>
      </c>
      <c r="D81" s="1" t="s">
        <v>565</v>
      </c>
      <c r="E81" s="1" t="s">
        <v>53</v>
      </c>
      <c r="F81" s="5" t="str">
        <f>_xlfn.XLOOKUP(C81,'January 2025'!C:C,'January 2025'!F:F)</f>
        <v>Manufacturing</v>
      </c>
      <c r="G81" s="1">
        <v>11500</v>
      </c>
      <c r="H81" s="1">
        <v>11500</v>
      </c>
      <c r="I81" s="1">
        <v>0</v>
      </c>
      <c r="J81" s="1">
        <v>0</v>
      </c>
      <c r="K81" s="1" t="s">
        <v>557</v>
      </c>
    </row>
    <row r="82" spans="1:11" x14ac:dyDescent="0.3">
      <c r="A82" s="1">
        <v>81</v>
      </c>
      <c r="B82" s="1">
        <v>10032</v>
      </c>
      <c r="C82" s="1" t="s">
        <v>113</v>
      </c>
      <c r="D82" s="1" t="s">
        <v>565</v>
      </c>
      <c r="E82" s="1" t="s">
        <v>53</v>
      </c>
      <c r="F82" s="5" t="str">
        <f>_xlfn.XLOOKUP(C82,'[1]March 2025'!$C:$C,'[1]March 2025'!$I:$I,"")</f>
        <v>Manufacturing</v>
      </c>
      <c r="G82" s="1">
        <v>12500</v>
      </c>
      <c r="H82" s="1">
        <v>12500</v>
      </c>
      <c r="I82" s="1">
        <v>0</v>
      </c>
      <c r="J82" s="1">
        <v>0</v>
      </c>
      <c r="K82" s="1" t="s">
        <v>557</v>
      </c>
    </row>
    <row r="83" spans="1:11" x14ac:dyDescent="0.3">
      <c r="A83" s="1">
        <v>82</v>
      </c>
      <c r="B83" s="1">
        <v>10033</v>
      </c>
      <c r="C83" s="1" t="s">
        <v>114</v>
      </c>
      <c r="D83" s="1" t="s">
        <v>565</v>
      </c>
      <c r="E83" s="1" t="s">
        <v>53</v>
      </c>
      <c r="F83" s="5" t="str">
        <f>_xlfn.XLOOKUP(C83,'[1]March 2025'!$C:$C,'[1]March 2025'!$I:$I,"")</f>
        <v>Manufacturing</v>
      </c>
      <c r="G83" s="1">
        <v>12500</v>
      </c>
      <c r="H83" s="1">
        <v>12500</v>
      </c>
      <c r="I83" s="1">
        <v>0</v>
      </c>
      <c r="J83" s="1">
        <v>0</v>
      </c>
      <c r="K83" s="1" t="s">
        <v>557</v>
      </c>
    </row>
    <row r="84" spans="1:11" x14ac:dyDescent="0.3">
      <c r="A84" s="1">
        <v>83</v>
      </c>
      <c r="B84" s="1">
        <v>10034</v>
      </c>
      <c r="C84" s="1" t="s">
        <v>115</v>
      </c>
      <c r="D84" s="1" t="s">
        <v>565</v>
      </c>
      <c r="E84" s="1" t="s">
        <v>35</v>
      </c>
      <c r="F84" s="5" t="str">
        <f>_xlfn.XLOOKUP(C84,'January 2025'!C:C,'January 2025'!F:F)</f>
        <v>Manufacturing</v>
      </c>
      <c r="G84" s="1">
        <v>15000</v>
      </c>
      <c r="H84" s="1">
        <v>15000</v>
      </c>
      <c r="I84" s="1">
        <v>0</v>
      </c>
      <c r="J84" s="1">
        <v>0</v>
      </c>
      <c r="K84" s="1" t="s">
        <v>556</v>
      </c>
    </row>
    <row r="85" spans="1:11" x14ac:dyDescent="0.3">
      <c r="A85" s="1">
        <v>84</v>
      </c>
      <c r="B85" s="1">
        <v>121</v>
      </c>
      <c r="C85" s="1" t="s">
        <v>116</v>
      </c>
      <c r="D85" s="1" t="s">
        <v>565</v>
      </c>
      <c r="E85" s="1" t="s">
        <v>35</v>
      </c>
      <c r="F85" s="5" t="str">
        <f>_xlfn.XLOOKUP(C85,'January 2025'!C:C,'January 2025'!F:F)</f>
        <v>Manufacturing</v>
      </c>
      <c r="G85" s="1">
        <v>13000</v>
      </c>
      <c r="H85" s="1">
        <v>13000</v>
      </c>
      <c r="I85" s="1">
        <v>0</v>
      </c>
      <c r="J85" s="1">
        <v>0</v>
      </c>
      <c r="K85" s="1" t="s">
        <v>556</v>
      </c>
    </row>
    <row r="86" spans="1:11" x14ac:dyDescent="0.3">
      <c r="A86" s="1">
        <v>85</v>
      </c>
      <c r="B86" s="1">
        <v>10036</v>
      </c>
      <c r="C86" s="1" t="s">
        <v>117</v>
      </c>
      <c r="D86" s="1" t="s">
        <v>565</v>
      </c>
      <c r="E86" s="1" t="s">
        <v>35</v>
      </c>
      <c r="F86" s="5" t="str">
        <f>_xlfn.XLOOKUP(B86,'April 2025'!B:B,'April 2025'!F:F)</f>
        <v>Domestic</v>
      </c>
      <c r="G86" s="1">
        <v>13000</v>
      </c>
      <c r="H86" s="1">
        <v>13000</v>
      </c>
      <c r="I86" s="1">
        <v>0</v>
      </c>
      <c r="J86" s="1">
        <v>0</v>
      </c>
      <c r="K86" s="1" t="str">
        <f>_xlfn.XLOOKUP(C86,'April 2025'!C:C,'April 2025'!K:K)</f>
        <v>L-9</v>
      </c>
    </row>
    <row r="87" spans="1:11" x14ac:dyDescent="0.3">
      <c r="A87" s="1">
        <v>86</v>
      </c>
      <c r="B87" s="1">
        <v>10037</v>
      </c>
      <c r="C87" s="1" t="s">
        <v>118</v>
      </c>
      <c r="D87" s="1" t="s">
        <v>565</v>
      </c>
      <c r="E87" s="1" t="s">
        <v>35</v>
      </c>
      <c r="F87" s="5" t="str">
        <f>_xlfn.XLOOKUP(B87,'April 2025'!B:B,'April 2025'!F:F)</f>
        <v>Manufacturing</v>
      </c>
      <c r="G87" s="1">
        <v>13500</v>
      </c>
      <c r="H87" s="1">
        <v>13500</v>
      </c>
      <c r="I87" s="1">
        <v>0</v>
      </c>
      <c r="J87" s="1">
        <v>0</v>
      </c>
      <c r="K87" s="1" t="str">
        <f>_xlfn.XLOOKUP(C87,'April 2025'!C:C,'April 2025'!K:K)</f>
        <v>L-9</v>
      </c>
    </row>
    <row r="88" spans="1:11" x14ac:dyDescent="0.3">
      <c r="A88" s="1">
        <v>87</v>
      </c>
      <c r="B88" s="1">
        <v>126</v>
      </c>
      <c r="C88" s="1" t="s">
        <v>119</v>
      </c>
      <c r="D88" s="1" t="s">
        <v>565</v>
      </c>
      <c r="E88" s="1" t="s">
        <v>53</v>
      </c>
      <c r="F88" s="5" t="str">
        <f>_xlfn.XLOOKUP(C88,'January 2025'!C:C,'January 2025'!F:F)</f>
        <v>Manufacturing</v>
      </c>
      <c r="G88" s="1">
        <v>11000</v>
      </c>
      <c r="H88" s="1">
        <v>11000</v>
      </c>
      <c r="I88" s="1">
        <v>0</v>
      </c>
      <c r="J88" s="1">
        <v>0</v>
      </c>
      <c r="K88" s="1" t="s">
        <v>557</v>
      </c>
    </row>
    <row r="89" spans="1:11" x14ac:dyDescent="0.3">
      <c r="A89" s="1">
        <v>88</v>
      </c>
      <c r="B89" s="1">
        <v>22</v>
      </c>
      <c r="C89" s="1" t="s">
        <v>120</v>
      </c>
      <c r="D89" s="1" t="s">
        <v>565</v>
      </c>
      <c r="E89" s="1" t="s">
        <v>61</v>
      </c>
      <c r="F89" s="5" t="str">
        <f>_xlfn.XLOOKUP(B89,'April 2025'!B:B,'April 2025'!F:F)</f>
        <v>Domestic</v>
      </c>
      <c r="G89" s="1">
        <v>13000</v>
      </c>
      <c r="H89" s="1">
        <v>13000</v>
      </c>
      <c r="I89" s="1">
        <v>0</v>
      </c>
      <c r="J89" s="1">
        <v>0</v>
      </c>
      <c r="K89" s="1" t="str">
        <f>_xlfn.XLOOKUP(C89,'April 2025'!C:C,'April 2025'!K:K)</f>
        <v>L-5</v>
      </c>
    </row>
    <row r="90" spans="1:11" x14ac:dyDescent="0.3">
      <c r="A90" s="1">
        <v>89</v>
      </c>
      <c r="B90" s="1">
        <v>10040</v>
      </c>
      <c r="C90" s="1" t="s">
        <v>121</v>
      </c>
      <c r="D90" s="1" t="s">
        <v>565</v>
      </c>
      <c r="E90" s="1" t="s">
        <v>35</v>
      </c>
      <c r="F90" s="5" t="str">
        <f>_xlfn.XLOOKUP(C90,'January 2025'!C:C,'January 2025'!F:F)</f>
        <v>Manufacturing</v>
      </c>
      <c r="G90" s="1">
        <v>13500</v>
      </c>
      <c r="H90" s="1">
        <v>13500</v>
      </c>
      <c r="I90" s="1">
        <v>0</v>
      </c>
      <c r="J90" s="1">
        <v>0</v>
      </c>
      <c r="K90" s="1" t="s">
        <v>556</v>
      </c>
    </row>
    <row r="91" spans="1:11" x14ac:dyDescent="0.3">
      <c r="A91" s="1">
        <v>90</v>
      </c>
      <c r="B91" s="1">
        <v>10041</v>
      </c>
      <c r="C91" s="1" t="s">
        <v>122</v>
      </c>
      <c r="D91" s="1" t="s">
        <v>565</v>
      </c>
      <c r="E91" s="1" t="s">
        <v>35</v>
      </c>
      <c r="F91" s="5" t="str">
        <f>_xlfn.XLOOKUP(B91,'April 2025'!B:B,'April 2025'!F:F)</f>
        <v>Manufacturing</v>
      </c>
      <c r="G91" s="1">
        <v>14000</v>
      </c>
      <c r="H91" s="1">
        <v>14000</v>
      </c>
      <c r="I91" s="1">
        <v>0</v>
      </c>
      <c r="J91" s="1">
        <v>0</v>
      </c>
      <c r="K91" s="1" t="str">
        <f>_xlfn.XLOOKUP(C91,'April 2025'!C:C,'April 2025'!K:K)</f>
        <v>L-9</v>
      </c>
    </row>
    <row r="92" spans="1:11" x14ac:dyDescent="0.3">
      <c r="A92" s="1">
        <v>91</v>
      </c>
      <c r="B92" s="1">
        <v>10042</v>
      </c>
      <c r="C92" s="1" t="s">
        <v>123</v>
      </c>
      <c r="D92" s="1" t="s">
        <v>565</v>
      </c>
      <c r="E92" s="1" t="s">
        <v>61</v>
      </c>
      <c r="F92" s="5" t="str">
        <f>_xlfn.XLOOKUP(C92,'January 2025'!C:C,'January 2025'!F:F)</f>
        <v>Manufacturing</v>
      </c>
      <c r="G92" s="1">
        <v>12500</v>
      </c>
      <c r="H92" s="1">
        <v>12500</v>
      </c>
      <c r="I92" s="1">
        <v>0</v>
      </c>
      <c r="J92" s="1">
        <v>0</v>
      </c>
      <c r="K92" s="1" t="s">
        <v>556</v>
      </c>
    </row>
    <row r="93" spans="1:11" x14ac:dyDescent="0.3">
      <c r="A93" s="1">
        <v>92</v>
      </c>
      <c r="B93" s="1">
        <v>10043</v>
      </c>
      <c r="C93" s="1" t="s">
        <v>124</v>
      </c>
      <c r="D93" s="1" t="s">
        <v>565</v>
      </c>
      <c r="E93" s="1" t="s">
        <v>35</v>
      </c>
      <c r="F93" s="5" t="str">
        <f>_xlfn.XLOOKUP(B93,'April 2025'!B:B,'April 2025'!F:F)</f>
        <v>Manufacturing</v>
      </c>
      <c r="G93" s="1">
        <v>11500</v>
      </c>
      <c r="H93" s="1">
        <v>11500</v>
      </c>
      <c r="I93" s="1">
        <v>0</v>
      </c>
      <c r="J93" s="1">
        <v>0</v>
      </c>
      <c r="K93" s="1" t="str">
        <f>_xlfn.XLOOKUP(C93,'April 2025'!C:C,'April 2025'!K:K)</f>
        <v>L-9</v>
      </c>
    </row>
    <row r="94" spans="1:11" x14ac:dyDescent="0.3">
      <c r="A94" s="1">
        <v>93</v>
      </c>
      <c r="B94" s="1">
        <v>10044</v>
      </c>
      <c r="C94" s="1" t="s">
        <v>125</v>
      </c>
      <c r="D94" s="1" t="s">
        <v>565</v>
      </c>
      <c r="E94" s="1" t="s">
        <v>35</v>
      </c>
      <c r="F94" s="5" t="str">
        <f>_xlfn.XLOOKUP(C94,'[1]March 2025'!$C:$C,'[1]March 2025'!$I:$I,"")</f>
        <v>Manufacturing</v>
      </c>
      <c r="G94" s="1">
        <v>12500</v>
      </c>
      <c r="H94" s="1">
        <v>12500</v>
      </c>
      <c r="I94" s="1">
        <v>0</v>
      </c>
      <c r="J94" s="1">
        <v>0</v>
      </c>
      <c r="K94" s="1" t="s">
        <v>556</v>
      </c>
    </row>
    <row r="95" spans="1:11" x14ac:dyDescent="0.3">
      <c r="A95" s="1">
        <v>94</v>
      </c>
      <c r="B95" s="1">
        <v>149</v>
      </c>
      <c r="C95" s="1" t="s">
        <v>126</v>
      </c>
      <c r="D95" s="1" t="s">
        <v>565</v>
      </c>
      <c r="E95" s="1" t="s">
        <v>35</v>
      </c>
      <c r="F95" s="5" t="str">
        <f>_xlfn.XLOOKUP(C95,'January 2025'!C:C,'January 2025'!F:F)</f>
        <v>Manufacturing</v>
      </c>
      <c r="G95" s="1">
        <v>12500</v>
      </c>
      <c r="H95" s="1">
        <v>12500</v>
      </c>
      <c r="I95" s="1">
        <v>0</v>
      </c>
      <c r="J95" s="1">
        <v>0</v>
      </c>
      <c r="K95" s="1" t="s">
        <v>556</v>
      </c>
    </row>
    <row r="96" spans="1:11" x14ac:dyDescent="0.3">
      <c r="A96" s="1">
        <v>95</v>
      </c>
      <c r="B96" s="1">
        <v>10046</v>
      </c>
      <c r="C96" s="1" t="s">
        <v>127</v>
      </c>
      <c r="D96" s="1" t="s">
        <v>565</v>
      </c>
      <c r="E96" s="1" t="s">
        <v>55</v>
      </c>
      <c r="F96" s="5" t="str">
        <f>_xlfn.XLOOKUP(B96,'April 2025'!B:B,'April 2025'!F:F)</f>
        <v>Manufacturing</v>
      </c>
      <c r="G96" s="1">
        <v>16500</v>
      </c>
      <c r="H96" s="1">
        <v>16500</v>
      </c>
      <c r="I96" s="1">
        <v>0</v>
      </c>
      <c r="J96" s="1">
        <v>0</v>
      </c>
      <c r="K96" s="1" t="str">
        <f>_xlfn.XLOOKUP(C96,'April 2025'!C:C,'April 2025'!K:K)</f>
        <v>L-7</v>
      </c>
    </row>
    <row r="97" spans="1:11" x14ac:dyDescent="0.3">
      <c r="A97" s="1">
        <v>96</v>
      </c>
      <c r="B97" s="1">
        <v>10047</v>
      </c>
      <c r="C97" s="1" t="s">
        <v>128</v>
      </c>
      <c r="D97" s="1" t="s">
        <v>565</v>
      </c>
      <c r="E97" s="1" t="s">
        <v>53</v>
      </c>
      <c r="F97" s="5" t="str">
        <f>_xlfn.XLOOKUP(C97,'January 2025'!C:C,'January 2025'!F:F)</f>
        <v>Manufacturing</v>
      </c>
      <c r="G97" s="1">
        <v>10500</v>
      </c>
      <c r="H97" s="1">
        <v>10500</v>
      </c>
      <c r="I97" s="1">
        <v>0</v>
      </c>
      <c r="J97" s="1">
        <v>0</v>
      </c>
      <c r="K97" s="1" t="s">
        <v>557</v>
      </c>
    </row>
    <row r="98" spans="1:11" x14ac:dyDescent="0.3">
      <c r="A98" s="1">
        <v>97</v>
      </c>
      <c r="B98" s="1">
        <v>10048</v>
      </c>
      <c r="C98" s="1" t="s">
        <v>129</v>
      </c>
      <c r="D98" s="1" t="s">
        <v>565</v>
      </c>
      <c r="E98" s="1" t="s">
        <v>130</v>
      </c>
      <c r="F98" s="5" t="str">
        <f>_xlfn.XLOOKUP(C98,'January 2025'!C:C,'January 2025'!F:F)</f>
        <v>Manufacturing</v>
      </c>
      <c r="G98" s="1">
        <v>8500</v>
      </c>
      <c r="H98" s="1">
        <v>8500</v>
      </c>
      <c r="I98" s="1">
        <v>0</v>
      </c>
      <c r="J98" s="1">
        <v>0</v>
      </c>
      <c r="K98" s="1" t="s">
        <v>556</v>
      </c>
    </row>
    <row r="99" spans="1:11" x14ac:dyDescent="0.3">
      <c r="A99" s="1">
        <v>98</v>
      </c>
      <c r="B99" s="1">
        <v>10049</v>
      </c>
      <c r="C99" s="1" t="s">
        <v>131</v>
      </c>
      <c r="D99" s="1" t="s">
        <v>565</v>
      </c>
      <c r="E99" s="1" t="s">
        <v>53</v>
      </c>
      <c r="F99" s="5" t="str">
        <f>_xlfn.XLOOKUP(B99,'April 2025'!B:B,'April 2025'!F:F)</f>
        <v>Domestic</v>
      </c>
      <c r="G99" s="1">
        <v>13000</v>
      </c>
      <c r="H99" s="1">
        <v>13000</v>
      </c>
      <c r="I99" s="1">
        <v>0</v>
      </c>
      <c r="J99" s="1">
        <v>0</v>
      </c>
      <c r="K99" s="1" t="str">
        <f>_xlfn.XLOOKUP(C99,'April 2025'!C:C,'April 2025'!K:K)</f>
        <v>L-10</v>
      </c>
    </row>
    <row r="100" spans="1:11" x14ac:dyDescent="0.3">
      <c r="A100" s="1">
        <v>99</v>
      </c>
      <c r="B100" s="1">
        <v>10050</v>
      </c>
      <c r="C100" s="1" t="s">
        <v>132</v>
      </c>
      <c r="D100" s="1" t="s">
        <v>565</v>
      </c>
      <c r="E100" s="1" t="s">
        <v>53</v>
      </c>
      <c r="F100" s="5" t="str">
        <f>_xlfn.XLOOKUP(B100,'April 2025'!B:B,'April 2025'!F:F)</f>
        <v xml:space="preserve">Admin </v>
      </c>
      <c r="G100" s="1">
        <v>11000</v>
      </c>
      <c r="H100" s="1">
        <v>11000</v>
      </c>
      <c r="I100" s="1">
        <v>0</v>
      </c>
      <c r="J100" s="1">
        <v>0</v>
      </c>
      <c r="K100" s="1" t="str">
        <f>_xlfn.XLOOKUP(C100,'April 2025'!C:C,'April 2025'!K:K)</f>
        <v>L-10</v>
      </c>
    </row>
    <row r="101" spans="1:11" x14ac:dyDescent="0.3">
      <c r="A101" s="1">
        <v>100</v>
      </c>
      <c r="B101" s="1">
        <v>162</v>
      </c>
      <c r="C101" s="1" t="s">
        <v>133</v>
      </c>
      <c r="D101" s="1" t="s">
        <v>565</v>
      </c>
      <c r="E101" s="1" t="s">
        <v>53</v>
      </c>
      <c r="F101" s="5" t="str">
        <f>_xlfn.XLOOKUP(C101,'January 2025'!C:C,'January 2025'!F:F)</f>
        <v>Manufacturing</v>
      </c>
      <c r="G101" s="1">
        <v>11000</v>
      </c>
      <c r="H101" s="1">
        <v>11000</v>
      </c>
      <c r="I101" s="1">
        <v>0</v>
      </c>
      <c r="J101" s="1">
        <v>0</v>
      </c>
      <c r="K101" s="1" t="s">
        <v>557</v>
      </c>
    </row>
    <row r="102" spans="1:11" x14ac:dyDescent="0.3">
      <c r="A102" s="1">
        <v>101</v>
      </c>
      <c r="B102" s="1">
        <v>10052</v>
      </c>
      <c r="C102" s="1" t="s">
        <v>134</v>
      </c>
      <c r="D102" s="1" t="s">
        <v>565</v>
      </c>
      <c r="E102" s="1" t="s">
        <v>135</v>
      </c>
      <c r="F102" s="5" t="str">
        <f>_xlfn.XLOOKUP(C102,'January 2025'!C:C,'January 2025'!F:F)</f>
        <v>Manufacturing</v>
      </c>
      <c r="G102" s="1">
        <v>12500</v>
      </c>
      <c r="H102" s="1">
        <v>12500</v>
      </c>
      <c r="I102" s="1">
        <v>0</v>
      </c>
      <c r="J102" s="1">
        <v>0</v>
      </c>
      <c r="K102" s="1" t="s">
        <v>556</v>
      </c>
    </row>
    <row r="103" spans="1:11" x14ac:dyDescent="0.3">
      <c r="A103" s="1">
        <v>102</v>
      </c>
      <c r="B103" s="1">
        <v>10053</v>
      </c>
      <c r="C103" s="1" t="s">
        <v>136</v>
      </c>
      <c r="D103" s="1" t="s">
        <v>565</v>
      </c>
      <c r="E103" s="1" t="s">
        <v>55</v>
      </c>
      <c r="F103" s="5" t="str">
        <f>_xlfn.XLOOKUP(B103,'April 2025'!B:B,'April 2025'!F:F)</f>
        <v>Manufacturing</v>
      </c>
      <c r="G103" s="1">
        <v>13000</v>
      </c>
      <c r="H103" s="1">
        <v>13000</v>
      </c>
      <c r="I103" s="1">
        <v>0</v>
      </c>
      <c r="J103" s="1">
        <v>0</v>
      </c>
      <c r="K103" s="1" t="str">
        <f>_xlfn.XLOOKUP(C103,'April 2025'!C:C,'April 2025'!K:K)</f>
        <v>L-7</v>
      </c>
    </row>
    <row r="104" spans="1:11" x14ac:dyDescent="0.3">
      <c r="A104" s="1">
        <v>103</v>
      </c>
      <c r="B104" s="1">
        <v>10054</v>
      </c>
      <c r="C104" s="1" t="s">
        <v>137</v>
      </c>
      <c r="D104" s="1" t="s">
        <v>565</v>
      </c>
      <c r="E104" s="1" t="s">
        <v>55</v>
      </c>
      <c r="F104" s="5" t="str">
        <f>_xlfn.XLOOKUP(B104,'April 2025'!B:B,'April 2025'!F:F)</f>
        <v>Domestic</v>
      </c>
      <c r="G104" s="1">
        <v>14500</v>
      </c>
      <c r="H104" s="1">
        <v>14500</v>
      </c>
      <c r="I104" s="1">
        <v>0</v>
      </c>
      <c r="J104" s="1">
        <v>0</v>
      </c>
      <c r="K104" s="1" t="str">
        <f>_xlfn.XLOOKUP(C104,'April 2025'!C:C,'April 2025'!K:K)</f>
        <v>L-7</v>
      </c>
    </row>
    <row r="105" spans="1:11" x14ac:dyDescent="0.3">
      <c r="A105" s="1">
        <v>104</v>
      </c>
      <c r="B105" s="1">
        <v>10055</v>
      </c>
      <c r="C105" s="1" t="s">
        <v>138</v>
      </c>
      <c r="D105" s="1" t="s">
        <v>565</v>
      </c>
      <c r="E105" s="1" t="s">
        <v>53</v>
      </c>
      <c r="F105" s="5" t="str">
        <f>_xlfn.XLOOKUP(B105,'April 2025'!B:B,'April 2025'!F:F)</f>
        <v xml:space="preserve">Admin </v>
      </c>
      <c r="G105" s="1">
        <v>11000</v>
      </c>
      <c r="H105" s="1">
        <v>11000</v>
      </c>
      <c r="I105" s="1">
        <v>0</v>
      </c>
      <c r="J105" s="1">
        <v>0</v>
      </c>
      <c r="K105" s="1" t="str">
        <f>_xlfn.XLOOKUP(C105,'April 2025'!C:C,'April 2025'!K:K)</f>
        <v>L-10</v>
      </c>
    </row>
    <row r="106" spans="1:11" x14ac:dyDescent="0.3">
      <c r="A106" s="1">
        <v>105</v>
      </c>
      <c r="B106" s="1">
        <v>10056</v>
      </c>
      <c r="C106" s="1" t="s">
        <v>139</v>
      </c>
      <c r="D106" s="1" t="s">
        <v>565</v>
      </c>
      <c r="E106" s="1" t="s">
        <v>53</v>
      </c>
      <c r="F106" s="5" t="str">
        <f>_xlfn.XLOOKUP(C106,'January 2025'!C:C,'January 2025'!F:F)</f>
        <v>Manufacturing</v>
      </c>
      <c r="G106" s="1">
        <v>11000</v>
      </c>
      <c r="H106" s="1">
        <v>11000</v>
      </c>
      <c r="I106" s="1">
        <v>0</v>
      </c>
      <c r="J106" s="1">
        <v>0</v>
      </c>
      <c r="K106" s="1" t="s">
        <v>557</v>
      </c>
    </row>
    <row r="107" spans="1:11" x14ac:dyDescent="0.3">
      <c r="A107" s="1">
        <v>106</v>
      </c>
      <c r="B107" s="1">
        <v>10057</v>
      </c>
      <c r="C107" s="1" t="s">
        <v>140</v>
      </c>
      <c r="D107" s="1" t="s">
        <v>565</v>
      </c>
      <c r="E107" s="1" t="s">
        <v>12</v>
      </c>
      <c r="F107" s="5" t="str">
        <f>_xlfn.XLOOKUP(B107,'April 2025'!B:B,'April 2025'!F:F)</f>
        <v>Manufacturing</v>
      </c>
      <c r="G107" s="1">
        <v>22000</v>
      </c>
      <c r="H107" s="1">
        <v>22000</v>
      </c>
      <c r="I107" s="1">
        <v>0</v>
      </c>
      <c r="J107" s="1">
        <v>0</v>
      </c>
      <c r="K107" s="1" t="str">
        <f>_xlfn.XLOOKUP(C107,'April 2025'!C:C,'April 2025'!K:K)</f>
        <v>L-9</v>
      </c>
    </row>
    <row r="108" spans="1:11" x14ac:dyDescent="0.3">
      <c r="A108" s="1">
        <v>107</v>
      </c>
      <c r="B108" s="1">
        <v>169</v>
      </c>
      <c r="C108" s="1" t="s">
        <v>141</v>
      </c>
      <c r="D108" s="1" t="s">
        <v>565</v>
      </c>
      <c r="E108" s="1" t="s">
        <v>61</v>
      </c>
      <c r="F108" s="5" t="str">
        <f>_xlfn.XLOOKUP(C108,'January 2025'!C:C,'January 2025'!F:F)</f>
        <v>Manufacturing</v>
      </c>
      <c r="G108" s="1">
        <v>13500</v>
      </c>
      <c r="H108" s="1">
        <v>13500</v>
      </c>
      <c r="I108" s="1">
        <v>0</v>
      </c>
      <c r="J108" s="1">
        <v>0</v>
      </c>
      <c r="K108" s="1" t="s">
        <v>556</v>
      </c>
    </row>
    <row r="109" spans="1:11" x14ac:dyDescent="0.3">
      <c r="A109" s="1">
        <v>108</v>
      </c>
      <c r="B109" s="1">
        <v>10059</v>
      </c>
      <c r="C109" s="1" t="s">
        <v>142</v>
      </c>
      <c r="D109" s="1" t="s">
        <v>565</v>
      </c>
      <c r="E109" s="1" t="s">
        <v>53</v>
      </c>
      <c r="F109" s="5" t="str">
        <f>_xlfn.XLOOKUP(C109,'January 2025'!C:C,'January 2025'!F:F)</f>
        <v>Manufacturing</v>
      </c>
      <c r="G109" s="1">
        <v>11000</v>
      </c>
      <c r="H109" s="1">
        <v>11000</v>
      </c>
      <c r="I109" s="1">
        <v>0</v>
      </c>
      <c r="J109" s="1">
        <v>0</v>
      </c>
      <c r="K109" s="1" t="s">
        <v>557</v>
      </c>
    </row>
    <row r="110" spans="1:11" x14ac:dyDescent="0.3">
      <c r="A110" s="1">
        <v>109</v>
      </c>
      <c r="B110" s="1">
        <v>173</v>
      </c>
      <c r="C110" s="1" t="s">
        <v>143</v>
      </c>
      <c r="D110" s="1" t="s">
        <v>565</v>
      </c>
      <c r="E110" s="1" t="s">
        <v>53</v>
      </c>
      <c r="F110" s="5" t="str">
        <f>_xlfn.XLOOKUP(C110,'January 2025'!C:C,'January 2025'!F:F)</f>
        <v>Manufacturing</v>
      </c>
      <c r="G110" s="1">
        <v>11000</v>
      </c>
      <c r="H110" s="1">
        <v>11000</v>
      </c>
      <c r="I110" s="1">
        <v>0</v>
      </c>
      <c r="J110" s="1">
        <v>0</v>
      </c>
      <c r="K110" s="1" t="s">
        <v>557</v>
      </c>
    </row>
    <row r="111" spans="1:11" x14ac:dyDescent="0.3">
      <c r="A111" s="1">
        <v>110</v>
      </c>
      <c r="B111" s="1">
        <v>10061</v>
      </c>
      <c r="C111" s="1" t="s">
        <v>144</v>
      </c>
      <c r="D111" s="1" t="s">
        <v>565</v>
      </c>
      <c r="E111" s="1" t="s">
        <v>8</v>
      </c>
      <c r="F111" s="5" t="str">
        <f>_xlfn.XLOOKUP(B111,'April 2025'!B:B,'April 2025'!F:F)</f>
        <v>Domestic</v>
      </c>
      <c r="G111" s="1">
        <v>8800</v>
      </c>
      <c r="H111" s="1">
        <v>8800</v>
      </c>
      <c r="I111" s="1">
        <v>0</v>
      </c>
      <c r="J111" s="1">
        <v>0</v>
      </c>
      <c r="K111" s="1" t="str">
        <f>_xlfn.XLOOKUP(C111,'April 2025'!C:C,'April 2025'!K:K)</f>
        <v>L-9</v>
      </c>
    </row>
    <row r="112" spans="1:11" x14ac:dyDescent="0.3">
      <c r="A112" s="1">
        <v>111</v>
      </c>
      <c r="B112" s="1">
        <v>10062</v>
      </c>
      <c r="C112" s="1" t="s">
        <v>145</v>
      </c>
      <c r="D112" s="1" t="s">
        <v>565</v>
      </c>
      <c r="E112" s="1" t="s">
        <v>53</v>
      </c>
      <c r="F112" s="5" t="str">
        <f>_xlfn.XLOOKUP(B112,'April 2025'!B:B,'April 2025'!F:F)</f>
        <v>Manufacturing</v>
      </c>
      <c r="G112" s="1">
        <v>10500</v>
      </c>
      <c r="H112" s="1">
        <v>10500</v>
      </c>
      <c r="I112" s="1">
        <v>0</v>
      </c>
      <c r="J112" s="1">
        <v>0</v>
      </c>
      <c r="K112" s="1" t="str">
        <f>_xlfn.XLOOKUP(C112,'April 2025'!C:C,'April 2025'!K:K)</f>
        <v>L-10</v>
      </c>
    </row>
    <row r="113" spans="1:11" x14ac:dyDescent="0.3">
      <c r="A113" s="1">
        <v>112</v>
      </c>
      <c r="B113" s="1">
        <v>10063</v>
      </c>
      <c r="C113" s="1" t="s">
        <v>146</v>
      </c>
      <c r="D113" s="1" t="s">
        <v>565</v>
      </c>
      <c r="E113" s="1" t="s">
        <v>53</v>
      </c>
      <c r="F113" s="5" t="str">
        <f>_xlfn.XLOOKUP(B113,'April 2025'!B:B,'April 2025'!F:F)</f>
        <v>Manufacturing</v>
      </c>
      <c r="G113" s="1">
        <v>11000</v>
      </c>
      <c r="H113" s="1">
        <v>11000</v>
      </c>
      <c r="I113" s="1">
        <v>0</v>
      </c>
      <c r="J113" s="1">
        <v>0</v>
      </c>
      <c r="K113" s="1" t="str">
        <f>_xlfn.XLOOKUP(C113,'April 2025'!C:C,'April 2025'!K:K)</f>
        <v>L-10</v>
      </c>
    </row>
    <row r="114" spans="1:11" x14ac:dyDescent="0.3">
      <c r="A114" s="1">
        <v>113</v>
      </c>
      <c r="B114" s="1">
        <v>10064</v>
      </c>
      <c r="C114" s="1" t="s">
        <v>147</v>
      </c>
      <c r="D114" s="1" t="s">
        <v>565</v>
      </c>
      <c r="E114" s="1" t="s">
        <v>35</v>
      </c>
      <c r="F114" s="5" t="str">
        <f>_xlfn.XLOOKUP(B114,'April 2025'!B:B,'April 2025'!F:F)</f>
        <v>Manufacturing</v>
      </c>
      <c r="G114" s="1">
        <v>13500</v>
      </c>
      <c r="H114" s="1">
        <v>13500</v>
      </c>
      <c r="I114" s="1">
        <v>0</v>
      </c>
      <c r="J114" s="1">
        <v>0</v>
      </c>
      <c r="K114" s="1" t="str">
        <f>_xlfn.XLOOKUP(C114,'April 2025'!C:C,'April 2025'!K:K)</f>
        <v>L-9</v>
      </c>
    </row>
    <row r="115" spans="1:11" x14ac:dyDescent="0.3">
      <c r="A115" s="1">
        <v>114</v>
      </c>
      <c r="B115" s="1">
        <v>10065</v>
      </c>
      <c r="C115" s="1" t="s">
        <v>148</v>
      </c>
      <c r="D115" s="1" t="s">
        <v>565</v>
      </c>
      <c r="E115" s="1" t="s">
        <v>35</v>
      </c>
      <c r="F115" s="5" t="str">
        <f>_xlfn.XLOOKUP(C115,'January 2025'!C:C,'January 2025'!F:F)</f>
        <v>Manufacturing</v>
      </c>
      <c r="G115" s="1">
        <v>11500</v>
      </c>
      <c r="H115" s="1">
        <v>11500</v>
      </c>
      <c r="I115" s="1">
        <v>0</v>
      </c>
      <c r="J115" s="1">
        <v>0</v>
      </c>
      <c r="K115" s="1" t="s">
        <v>556</v>
      </c>
    </row>
    <row r="116" spans="1:11" x14ac:dyDescent="0.3">
      <c r="A116" s="1">
        <v>115</v>
      </c>
      <c r="B116" s="1">
        <v>10066</v>
      </c>
      <c r="C116" s="1" t="s">
        <v>149</v>
      </c>
      <c r="D116" s="1" t="s">
        <v>565</v>
      </c>
      <c r="E116" s="1" t="s">
        <v>35</v>
      </c>
      <c r="F116" s="5" t="str">
        <f>_xlfn.XLOOKUP(C116,'January 2025'!C:C,'January 2025'!F:F)</f>
        <v>Manufacturing</v>
      </c>
      <c r="G116" s="1">
        <v>12500</v>
      </c>
      <c r="H116" s="1">
        <v>12500</v>
      </c>
      <c r="I116" s="1">
        <v>0</v>
      </c>
      <c r="J116" s="1">
        <v>0</v>
      </c>
      <c r="K116" s="1" t="s">
        <v>556</v>
      </c>
    </row>
    <row r="117" spans="1:11" x14ac:dyDescent="0.3">
      <c r="A117" s="1">
        <v>116</v>
      </c>
      <c r="B117" s="1">
        <v>10067</v>
      </c>
      <c r="C117" s="1" t="s">
        <v>40</v>
      </c>
      <c r="D117" s="1" t="s">
        <v>565</v>
      </c>
      <c r="E117" s="1" t="s">
        <v>61</v>
      </c>
      <c r="F117" s="5" t="str">
        <f>_xlfn.XLOOKUP(C117,'[1]March 2025'!$C:$C,'[1]March 2025'!$I:$I,"")</f>
        <v>Manufacturing</v>
      </c>
      <c r="G117" s="1">
        <v>11500</v>
      </c>
      <c r="H117" s="1">
        <v>11500</v>
      </c>
      <c r="I117" s="1">
        <v>0</v>
      </c>
      <c r="J117" s="1">
        <v>0</v>
      </c>
      <c r="K117" s="1" t="str">
        <f>_xlfn.XLOOKUP(C117,'April 2025'!C:C,'April 2025'!K:K)</f>
        <v>L-8</v>
      </c>
    </row>
    <row r="118" spans="1:11" x14ac:dyDescent="0.3">
      <c r="A118" s="1">
        <v>117</v>
      </c>
      <c r="B118" s="1">
        <v>10068</v>
      </c>
      <c r="C118" s="1" t="s">
        <v>150</v>
      </c>
      <c r="D118" s="1" t="s">
        <v>565</v>
      </c>
      <c r="E118" s="1" t="s">
        <v>53</v>
      </c>
      <c r="F118" s="5" t="str">
        <f>_xlfn.XLOOKUP(B118,'April 2025'!B:B,'April 2025'!F:F)</f>
        <v>Manufacturing</v>
      </c>
      <c r="G118" s="1">
        <v>13500</v>
      </c>
      <c r="H118" s="1">
        <v>13500</v>
      </c>
      <c r="I118" s="1">
        <v>0</v>
      </c>
      <c r="J118" s="1">
        <v>0</v>
      </c>
      <c r="K118" s="1" t="str">
        <f>_xlfn.XLOOKUP(C118,'April 2025'!C:C,'April 2025'!K:K)</f>
        <v>L-10</v>
      </c>
    </row>
    <row r="119" spans="1:11" x14ac:dyDescent="0.3">
      <c r="A119" s="1">
        <v>118</v>
      </c>
      <c r="B119" s="1">
        <v>10069</v>
      </c>
      <c r="C119" s="1" t="s">
        <v>151</v>
      </c>
      <c r="D119" s="1" t="s">
        <v>565</v>
      </c>
      <c r="E119" s="1" t="s">
        <v>35</v>
      </c>
      <c r="F119" s="5" t="str">
        <f>_xlfn.XLOOKUP(B119,'April 2025'!B:B,'April 2025'!F:F)</f>
        <v>Manufacturing</v>
      </c>
      <c r="G119" s="1">
        <v>13000</v>
      </c>
      <c r="H119" s="1">
        <v>13000</v>
      </c>
      <c r="I119" s="1">
        <v>0</v>
      </c>
      <c r="J119" s="1">
        <v>0</v>
      </c>
      <c r="K119" s="1" t="str">
        <f>_xlfn.XLOOKUP(C119,'April 2025'!C:C,'April 2025'!K:K)</f>
        <v>L-9</v>
      </c>
    </row>
    <row r="120" spans="1:11" x14ac:dyDescent="0.3">
      <c r="A120" s="1">
        <v>119</v>
      </c>
      <c r="B120" s="1">
        <v>10070</v>
      </c>
      <c r="C120" s="1" t="s">
        <v>152</v>
      </c>
      <c r="D120" s="1" t="s">
        <v>565</v>
      </c>
      <c r="E120" s="1" t="s">
        <v>35</v>
      </c>
      <c r="F120" s="5" t="str">
        <f>_xlfn.XLOOKUP(B120,'April 2025'!B:B,'April 2025'!F:F)</f>
        <v>Domestic</v>
      </c>
      <c r="G120" s="1">
        <v>13500</v>
      </c>
      <c r="H120" s="1">
        <v>13500</v>
      </c>
      <c r="I120" s="1">
        <v>0</v>
      </c>
      <c r="J120" s="1">
        <v>0</v>
      </c>
      <c r="K120" s="1" t="str">
        <f>_xlfn.XLOOKUP(C120,'April 2025'!C:C,'April 2025'!K:K)</f>
        <v>L-9</v>
      </c>
    </row>
    <row r="121" spans="1:11" x14ac:dyDescent="0.3">
      <c r="A121" s="1">
        <v>120</v>
      </c>
      <c r="B121" s="1">
        <v>10071</v>
      </c>
      <c r="C121" s="1" t="s">
        <v>153</v>
      </c>
      <c r="D121" s="1" t="s">
        <v>565</v>
      </c>
      <c r="E121" s="1" t="s">
        <v>61</v>
      </c>
      <c r="F121" s="5" t="str">
        <f>_xlfn.XLOOKUP(C121,'January 2025'!C:C,'January 2025'!F:F)</f>
        <v>Manufacturing</v>
      </c>
      <c r="G121" s="1">
        <v>12000</v>
      </c>
      <c r="H121" s="1">
        <v>12000</v>
      </c>
      <c r="I121" s="1">
        <v>0</v>
      </c>
      <c r="J121" s="1">
        <v>0</v>
      </c>
      <c r="K121" s="1" t="s">
        <v>556</v>
      </c>
    </row>
    <row r="122" spans="1:11" x14ac:dyDescent="0.3">
      <c r="A122" s="1">
        <v>121</v>
      </c>
      <c r="B122" s="1">
        <v>186</v>
      </c>
      <c r="C122" s="1" t="s">
        <v>154</v>
      </c>
      <c r="D122" s="1" t="s">
        <v>565</v>
      </c>
      <c r="E122" s="1" t="s">
        <v>53</v>
      </c>
      <c r="F122" s="5" t="str">
        <f>_xlfn.XLOOKUP(C122,'January 2025'!C:C,'January 2025'!F:F)</f>
        <v>Manufacturing</v>
      </c>
      <c r="G122" s="1">
        <v>11000</v>
      </c>
      <c r="H122" s="1">
        <v>11000</v>
      </c>
      <c r="I122" s="1">
        <v>0</v>
      </c>
      <c r="J122" s="1">
        <v>0</v>
      </c>
      <c r="K122" s="1" t="s">
        <v>557</v>
      </c>
    </row>
    <row r="123" spans="1:11" x14ac:dyDescent="0.3">
      <c r="A123" s="1">
        <v>122</v>
      </c>
      <c r="B123" s="1">
        <v>188</v>
      </c>
      <c r="C123" s="1" t="s">
        <v>155</v>
      </c>
      <c r="D123" s="1" t="s">
        <v>565</v>
      </c>
      <c r="E123" s="1" t="s">
        <v>61</v>
      </c>
      <c r="F123" s="5" t="str">
        <f>_xlfn.XLOOKUP(C123,'January 2025'!C:C,'January 2025'!F:F)</f>
        <v>Manufacturing</v>
      </c>
      <c r="G123" s="1">
        <v>11000</v>
      </c>
      <c r="H123" s="1">
        <v>11000</v>
      </c>
      <c r="I123" s="1">
        <v>0</v>
      </c>
      <c r="J123" s="1">
        <v>0</v>
      </c>
      <c r="K123" s="1" t="s">
        <v>556</v>
      </c>
    </row>
    <row r="124" spans="1:11" x14ac:dyDescent="0.3">
      <c r="A124" s="1">
        <v>123</v>
      </c>
      <c r="B124" s="1">
        <v>10074</v>
      </c>
      <c r="C124" s="1" t="s">
        <v>95</v>
      </c>
      <c r="D124" s="1" t="s">
        <v>565</v>
      </c>
      <c r="E124" s="1" t="s">
        <v>53</v>
      </c>
      <c r="F124" s="5" t="str">
        <f>_xlfn.XLOOKUP(B124,'April 2025'!B:B,'April 2025'!F:F)</f>
        <v>Manufacturing</v>
      </c>
      <c r="G124" s="1">
        <v>11000</v>
      </c>
      <c r="H124" s="1">
        <v>11000</v>
      </c>
      <c r="I124" s="1">
        <v>0</v>
      </c>
      <c r="J124" s="1">
        <v>0</v>
      </c>
      <c r="K124" s="1" t="str">
        <f>_xlfn.XLOOKUP(C124,'April 2025'!C:C,'April 2025'!K:K)</f>
        <v>L-10</v>
      </c>
    </row>
    <row r="125" spans="1:11" x14ac:dyDescent="0.3">
      <c r="A125" s="1">
        <v>124</v>
      </c>
      <c r="B125" s="1">
        <v>190</v>
      </c>
      <c r="C125" s="1" t="s">
        <v>156</v>
      </c>
      <c r="D125" s="1" t="s">
        <v>565</v>
      </c>
      <c r="E125" s="1" t="s">
        <v>35</v>
      </c>
      <c r="F125" s="5" t="str">
        <f>_xlfn.XLOOKUP(C125,'January 2025'!C:C,'January 2025'!F:F)</f>
        <v>Manufacturing</v>
      </c>
      <c r="G125" s="1">
        <v>8500</v>
      </c>
      <c r="H125" s="1">
        <v>8500</v>
      </c>
      <c r="I125" s="1">
        <v>0</v>
      </c>
      <c r="J125" s="1">
        <v>0</v>
      </c>
      <c r="K125" s="1" t="s">
        <v>556</v>
      </c>
    </row>
    <row r="126" spans="1:11" x14ac:dyDescent="0.3">
      <c r="A126" s="1">
        <v>125</v>
      </c>
      <c r="B126" s="1">
        <v>10076</v>
      </c>
      <c r="C126" s="1" t="s">
        <v>157</v>
      </c>
      <c r="D126" s="1" t="s">
        <v>565</v>
      </c>
      <c r="E126" s="1" t="s">
        <v>61</v>
      </c>
      <c r="F126" s="5" t="str">
        <f>_xlfn.XLOOKUP(B126,'April 2025'!B:B,'April 2025'!F:F)</f>
        <v>Manufacturing</v>
      </c>
      <c r="G126" s="1">
        <v>12500</v>
      </c>
      <c r="H126" s="1">
        <v>12500</v>
      </c>
      <c r="I126" s="1">
        <v>0</v>
      </c>
      <c r="J126" s="1">
        <v>0</v>
      </c>
      <c r="K126" s="1" t="str">
        <f>_xlfn.XLOOKUP(C126,'April 2025'!C:C,'April 2025'!K:K)</f>
        <v>L-9</v>
      </c>
    </row>
    <row r="127" spans="1:11" x14ac:dyDescent="0.3">
      <c r="A127" s="1">
        <v>126</v>
      </c>
      <c r="B127" s="1">
        <v>192</v>
      </c>
      <c r="C127" s="1" t="s">
        <v>158</v>
      </c>
      <c r="D127" s="1" t="s">
        <v>565</v>
      </c>
      <c r="E127" s="1" t="s">
        <v>35</v>
      </c>
      <c r="F127" s="5" t="str">
        <f>_xlfn.XLOOKUP(C127,'January 2025'!C:C,'January 2025'!F:F)</f>
        <v>Manufacturing</v>
      </c>
      <c r="G127" s="1">
        <v>8000</v>
      </c>
      <c r="H127" s="1">
        <v>8000</v>
      </c>
      <c r="I127" s="1">
        <v>0</v>
      </c>
      <c r="J127" s="1">
        <v>0</v>
      </c>
      <c r="K127" s="1" t="s">
        <v>556</v>
      </c>
    </row>
    <row r="128" spans="1:11" x14ac:dyDescent="0.3">
      <c r="A128" s="1">
        <v>127</v>
      </c>
      <c r="B128" s="1">
        <v>10078</v>
      </c>
      <c r="C128" s="1" t="s">
        <v>159</v>
      </c>
      <c r="D128" s="1" t="s">
        <v>565</v>
      </c>
      <c r="E128" s="1" t="s">
        <v>12</v>
      </c>
      <c r="F128" s="5" t="str">
        <f>_xlfn.XLOOKUP(B128,'April 2025'!B:B,'April 2025'!F:F)</f>
        <v>Manufacturing</v>
      </c>
      <c r="G128" s="1">
        <v>19000</v>
      </c>
      <c r="H128" s="1">
        <v>19000</v>
      </c>
      <c r="I128" s="1">
        <v>0</v>
      </c>
      <c r="J128" s="1">
        <v>0</v>
      </c>
      <c r="K128" s="1" t="str">
        <f>_xlfn.XLOOKUP(C128,'April 2025'!C:C,'April 2025'!K:K)</f>
        <v>L-9</v>
      </c>
    </row>
    <row r="129" spans="1:11" x14ac:dyDescent="0.3">
      <c r="A129" s="1">
        <v>128</v>
      </c>
      <c r="B129" s="1">
        <v>10079</v>
      </c>
      <c r="C129" s="1" t="s">
        <v>160</v>
      </c>
      <c r="D129" s="1" t="s">
        <v>565</v>
      </c>
      <c r="E129" s="1" t="s">
        <v>35</v>
      </c>
      <c r="F129" s="5" t="str">
        <f>_xlfn.XLOOKUP(C129,'January 2025'!C:C,'January 2025'!F:F)</f>
        <v>Manufacturing</v>
      </c>
      <c r="G129" s="1">
        <v>11500</v>
      </c>
      <c r="H129" s="1">
        <v>11500</v>
      </c>
      <c r="I129" s="1">
        <v>0</v>
      </c>
      <c r="J129" s="1">
        <v>0</v>
      </c>
      <c r="K129" s="1" t="s">
        <v>556</v>
      </c>
    </row>
    <row r="130" spans="1:11" x14ac:dyDescent="0.3">
      <c r="A130" s="1">
        <v>129</v>
      </c>
      <c r="B130" s="1">
        <v>10080</v>
      </c>
      <c r="C130" s="1" t="s">
        <v>161</v>
      </c>
      <c r="D130" s="1" t="s">
        <v>565</v>
      </c>
      <c r="E130" s="1" t="s">
        <v>35</v>
      </c>
      <c r="F130" s="5" t="str">
        <f>_xlfn.XLOOKUP(C130,'January 2025'!C:C,'January 2025'!F:F)</f>
        <v>Manufacturing</v>
      </c>
      <c r="G130" s="1">
        <v>13000</v>
      </c>
      <c r="H130" s="1">
        <v>13000</v>
      </c>
      <c r="I130" s="1">
        <v>0</v>
      </c>
      <c r="J130" s="1">
        <v>0</v>
      </c>
      <c r="K130" s="1" t="s">
        <v>556</v>
      </c>
    </row>
    <row r="131" spans="1:11" x14ac:dyDescent="0.3">
      <c r="A131" s="1">
        <v>130</v>
      </c>
      <c r="B131" s="1">
        <v>10081</v>
      </c>
      <c r="C131" s="1" t="s">
        <v>162</v>
      </c>
      <c r="D131" s="1" t="s">
        <v>565</v>
      </c>
      <c r="E131" s="1" t="s">
        <v>35</v>
      </c>
      <c r="F131" s="5" t="str">
        <f>_xlfn.XLOOKUP(C131,'January 2025'!C:C,'January 2025'!F:F)</f>
        <v>Manufacturing</v>
      </c>
      <c r="G131" s="1">
        <v>13000</v>
      </c>
      <c r="H131" s="1">
        <v>13000</v>
      </c>
      <c r="I131" s="1">
        <v>0</v>
      </c>
      <c r="J131" s="1">
        <v>0</v>
      </c>
      <c r="K131" s="1" t="s">
        <v>556</v>
      </c>
    </row>
    <row r="132" spans="1:11" x14ac:dyDescent="0.3">
      <c r="A132" s="1">
        <v>131</v>
      </c>
      <c r="B132" s="1">
        <v>197</v>
      </c>
      <c r="C132" s="1" t="s">
        <v>163</v>
      </c>
      <c r="D132" s="1" t="s">
        <v>565</v>
      </c>
      <c r="E132" s="1" t="s">
        <v>35</v>
      </c>
      <c r="F132" s="5" t="str">
        <f>_xlfn.XLOOKUP(C132,'January 2025'!C:C,'January 2025'!F:F)</f>
        <v>Manufacturing</v>
      </c>
      <c r="G132" s="1">
        <v>13000</v>
      </c>
      <c r="H132" s="1">
        <v>13000</v>
      </c>
      <c r="I132" s="1">
        <v>0</v>
      </c>
      <c r="J132" s="1">
        <v>0</v>
      </c>
      <c r="K132" s="1" t="s">
        <v>556</v>
      </c>
    </row>
    <row r="133" spans="1:11" x14ac:dyDescent="0.3">
      <c r="A133" s="1">
        <v>132</v>
      </c>
      <c r="B133" s="1">
        <v>10083</v>
      </c>
      <c r="C133" s="1" t="s">
        <v>164</v>
      </c>
      <c r="D133" s="1" t="s">
        <v>565</v>
      </c>
      <c r="E133" s="1" t="s">
        <v>35</v>
      </c>
      <c r="F133" s="5" t="str">
        <f>_xlfn.XLOOKUP(C133,'January 2025'!C:C,'January 2025'!F:F)</f>
        <v>Manufacturing</v>
      </c>
      <c r="G133" s="1">
        <v>12500</v>
      </c>
      <c r="H133" s="1">
        <v>12500</v>
      </c>
      <c r="I133" s="1">
        <v>0</v>
      </c>
      <c r="J133" s="1">
        <v>0</v>
      </c>
      <c r="K133" s="1" t="s">
        <v>556</v>
      </c>
    </row>
    <row r="134" spans="1:11" x14ac:dyDescent="0.3">
      <c r="A134" s="1">
        <v>133</v>
      </c>
      <c r="B134" s="1">
        <v>10084</v>
      </c>
      <c r="C134" s="1" t="s">
        <v>165</v>
      </c>
      <c r="D134" s="1" t="s">
        <v>565</v>
      </c>
      <c r="E134" s="1" t="s">
        <v>35</v>
      </c>
      <c r="F134" s="5" t="str">
        <f>_xlfn.XLOOKUP(C134,'[1]March 2025'!$C:$C,'[1]March 2025'!$I:$I,"")</f>
        <v>Manufacturing</v>
      </c>
      <c r="G134" s="1">
        <v>12000</v>
      </c>
      <c r="H134" s="1">
        <v>12000</v>
      </c>
      <c r="I134" s="1">
        <v>0</v>
      </c>
      <c r="J134" s="1">
        <v>0</v>
      </c>
      <c r="K134" s="1" t="s">
        <v>556</v>
      </c>
    </row>
    <row r="135" spans="1:11" x14ac:dyDescent="0.3">
      <c r="A135" s="1">
        <v>134</v>
      </c>
      <c r="B135" s="1">
        <v>10085</v>
      </c>
      <c r="C135" s="1" t="s">
        <v>166</v>
      </c>
      <c r="D135" s="1" t="s">
        <v>565</v>
      </c>
      <c r="E135" s="1" t="s">
        <v>35</v>
      </c>
      <c r="F135" s="5" t="str">
        <f>_xlfn.XLOOKUP(C135,'January 2025'!C:C,'January 2025'!F:F)</f>
        <v>Manufacturing</v>
      </c>
      <c r="G135" s="1">
        <v>11000</v>
      </c>
      <c r="H135" s="1">
        <v>11000</v>
      </c>
      <c r="I135" s="1">
        <v>0</v>
      </c>
      <c r="J135" s="1">
        <v>0</v>
      </c>
      <c r="K135" s="1" t="s">
        <v>556</v>
      </c>
    </row>
    <row r="136" spans="1:11" x14ac:dyDescent="0.3">
      <c r="A136" s="1">
        <v>135</v>
      </c>
      <c r="B136" s="1">
        <v>201</v>
      </c>
      <c r="C136" s="1" t="s">
        <v>167</v>
      </c>
      <c r="D136" s="1" t="s">
        <v>565</v>
      </c>
      <c r="E136" s="1" t="s">
        <v>61</v>
      </c>
      <c r="F136" s="5" t="str">
        <f>_xlfn.XLOOKUP(C136,'January 2025'!C:C,'January 2025'!F:F)</f>
        <v>Manufacturing</v>
      </c>
      <c r="G136" s="1">
        <v>11000</v>
      </c>
      <c r="H136" s="1">
        <v>11000</v>
      </c>
      <c r="I136" s="1">
        <v>0</v>
      </c>
      <c r="J136" s="1">
        <v>0</v>
      </c>
      <c r="K136" s="1" t="s">
        <v>556</v>
      </c>
    </row>
    <row r="137" spans="1:11" x14ac:dyDescent="0.3">
      <c r="A137" s="1">
        <v>136</v>
      </c>
      <c r="B137" s="1">
        <v>10087</v>
      </c>
      <c r="C137" s="1" t="s">
        <v>168</v>
      </c>
      <c r="D137" s="1" t="s">
        <v>565</v>
      </c>
      <c r="E137" s="1" t="s">
        <v>53</v>
      </c>
      <c r="F137" s="5" t="str">
        <f>_xlfn.XLOOKUP(C137,'January 2025'!C:C,'January 2025'!F:F)</f>
        <v>Manufacturing</v>
      </c>
      <c r="G137" s="1">
        <v>11000</v>
      </c>
      <c r="H137" s="1">
        <v>11000</v>
      </c>
      <c r="I137" s="1">
        <v>0</v>
      </c>
      <c r="J137" s="1">
        <v>0</v>
      </c>
      <c r="K137" s="1" t="s">
        <v>557</v>
      </c>
    </row>
    <row r="138" spans="1:11" x14ac:dyDescent="0.3">
      <c r="A138" s="1">
        <v>137</v>
      </c>
      <c r="B138" s="1">
        <v>10086</v>
      </c>
      <c r="C138" s="1" t="s">
        <v>169</v>
      </c>
      <c r="D138" s="1" t="s">
        <v>565</v>
      </c>
      <c r="E138" s="1" t="s">
        <v>35</v>
      </c>
      <c r="F138" s="5" t="str">
        <f>_xlfn.XLOOKUP(C138,'January 2025'!C:C,'January 2025'!F:F)</f>
        <v>Manufacturing</v>
      </c>
      <c r="G138" s="1">
        <v>12000</v>
      </c>
      <c r="H138" s="1">
        <v>12000</v>
      </c>
      <c r="I138" s="1">
        <v>0</v>
      </c>
      <c r="J138" s="1">
        <v>0</v>
      </c>
      <c r="K138" s="1" t="s">
        <v>556</v>
      </c>
    </row>
    <row r="139" spans="1:11" x14ac:dyDescent="0.3">
      <c r="A139" s="1">
        <v>138</v>
      </c>
      <c r="B139" s="1">
        <v>204</v>
      </c>
      <c r="C139" s="1" t="s">
        <v>98</v>
      </c>
      <c r="D139" s="1" t="s">
        <v>565</v>
      </c>
      <c r="E139" s="1" t="s">
        <v>53</v>
      </c>
      <c r="F139" s="5" t="str">
        <f>_xlfn.XLOOKUP(C139,'[1]March 2025'!$C:$C,'[1]March 2025'!$I:$I,"")</f>
        <v>Domestic</v>
      </c>
      <c r="G139" s="1">
        <v>11000</v>
      </c>
      <c r="H139" s="1">
        <v>11000</v>
      </c>
      <c r="I139" s="1">
        <v>0</v>
      </c>
      <c r="J139" s="1">
        <v>0</v>
      </c>
      <c r="K139" s="1" t="str">
        <f>_xlfn.XLOOKUP(C139,'April 2025'!C:C,'April 2025'!K:K)</f>
        <v>L-10</v>
      </c>
    </row>
    <row r="140" spans="1:11" x14ac:dyDescent="0.3">
      <c r="A140" s="1">
        <v>139</v>
      </c>
      <c r="B140" s="1">
        <v>10082</v>
      </c>
      <c r="C140" s="1" t="s">
        <v>170</v>
      </c>
      <c r="D140" s="1" t="s">
        <v>565</v>
      </c>
      <c r="E140" s="1" t="s">
        <v>53</v>
      </c>
      <c r="F140" s="5" t="str">
        <f>_xlfn.XLOOKUP(C140,'January 2025'!C:C,'January 2025'!F:F)</f>
        <v>Manufacturing</v>
      </c>
      <c r="G140" s="1">
        <v>11000</v>
      </c>
      <c r="H140" s="1">
        <v>11000</v>
      </c>
      <c r="I140" s="1">
        <v>0</v>
      </c>
      <c r="J140" s="1">
        <v>0</v>
      </c>
      <c r="K140" s="1" t="s">
        <v>557</v>
      </c>
    </row>
    <row r="141" spans="1:11" x14ac:dyDescent="0.3">
      <c r="A141" s="1">
        <v>140</v>
      </c>
      <c r="B141" s="1">
        <v>102</v>
      </c>
      <c r="C141" s="1" t="s">
        <v>171</v>
      </c>
      <c r="D141" s="1" t="s">
        <v>565</v>
      </c>
      <c r="E141" s="1" t="s">
        <v>53</v>
      </c>
      <c r="F141" s="5" t="str">
        <f>_xlfn.XLOOKUP(C141,'January 2025'!C:C,'January 2025'!F:F)</f>
        <v>Manufacturing</v>
      </c>
      <c r="G141" s="1">
        <v>10000</v>
      </c>
      <c r="H141" s="1">
        <v>10000</v>
      </c>
      <c r="I141" s="1">
        <v>0</v>
      </c>
      <c r="J141" s="1">
        <v>0</v>
      </c>
      <c r="K141" s="1" t="s">
        <v>557</v>
      </c>
    </row>
    <row r="142" spans="1:11" x14ac:dyDescent="0.3">
      <c r="A142" s="1">
        <v>141</v>
      </c>
      <c r="B142" s="1">
        <v>103</v>
      </c>
      <c r="C142" s="1" t="s">
        <v>172</v>
      </c>
      <c r="D142" s="1" t="s">
        <v>565</v>
      </c>
      <c r="E142" s="1" t="s">
        <v>35</v>
      </c>
      <c r="F142" s="5" t="str">
        <f>_xlfn.XLOOKUP(B142,'April 2025'!B:B,'April 2025'!F:F)</f>
        <v>Manufacturing</v>
      </c>
      <c r="G142" s="1">
        <v>12000</v>
      </c>
      <c r="H142" s="1">
        <v>12000</v>
      </c>
      <c r="I142" s="1">
        <v>0</v>
      </c>
      <c r="J142" s="1">
        <v>0</v>
      </c>
      <c r="K142" s="1" t="str">
        <f>_xlfn.XLOOKUP(C142,'April 2025'!C:C,'April 2025'!K:K)</f>
        <v>L-9</v>
      </c>
    </row>
    <row r="143" spans="1:11" x14ac:dyDescent="0.3">
      <c r="A143" s="1">
        <v>142</v>
      </c>
      <c r="B143" s="1">
        <v>104</v>
      </c>
      <c r="C143" s="1" t="s">
        <v>173</v>
      </c>
      <c r="D143" s="1" t="s">
        <v>565</v>
      </c>
      <c r="E143" s="1" t="s">
        <v>55</v>
      </c>
      <c r="F143" s="5" t="str">
        <f>_xlfn.XLOOKUP(B143,'April 2025'!B:B,'April 2025'!F:F)</f>
        <v>Domestic</v>
      </c>
      <c r="G143" s="1">
        <v>17500</v>
      </c>
      <c r="H143" s="1">
        <v>17500</v>
      </c>
      <c r="I143" s="1">
        <v>0</v>
      </c>
      <c r="J143" s="1">
        <v>0</v>
      </c>
      <c r="K143" s="1" t="str">
        <f>_xlfn.XLOOKUP(C143,'April 2025'!C:C,'April 2025'!K:K)</f>
        <v>L-5</v>
      </c>
    </row>
    <row r="144" spans="1:11" x14ac:dyDescent="0.3">
      <c r="A144" s="1">
        <v>143</v>
      </c>
      <c r="B144" s="1">
        <v>108</v>
      </c>
      <c r="C144" s="1" t="s">
        <v>174</v>
      </c>
      <c r="D144" s="1" t="s">
        <v>565</v>
      </c>
      <c r="E144" s="1" t="s">
        <v>61</v>
      </c>
      <c r="F144" s="5" t="str">
        <f>_xlfn.XLOOKUP(B144,'April 2025'!B:B,'April 2025'!F:F)</f>
        <v>Domestic</v>
      </c>
      <c r="G144" s="1">
        <v>12000</v>
      </c>
      <c r="H144" s="1">
        <v>12000</v>
      </c>
      <c r="I144" s="1">
        <v>0</v>
      </c>
      <c r="J144" s="1">
        <v>0</v>
      </c>
      <c r="K144" s="1" t="str">
        <f>_xlfn.XLOOKUP(C144,'April 2025'!C:C,'April 2025'!K:K)</f>
        <v>L-5</v>
      </c>
    </row>
    <row r="145" spans="1:11" x14ac:dyDescent="0.3">
      <c r="A145" s="1">
        <v>144</v>
      </c>
      <c r="B145" s="1">
        <v>109</v>
      </c>
      <c r="C145" s="1" t="s">
        <v>175</v>
      </c>
      <c r="D145" s="1" t="s">
        <v>565</v>
      </c>
      <c r="E145" s="1" t="s">
        <v>21</v>
      </c>
      <c r="F145" s="5" t="str">
        <f>_xlfn.XLOOKUP(B145,'April 2025'!B:B,'April 2025'!F:F)</f>
        <v>Domestic</v>
      </c>
      <c r="G145" s="1">
        <v>16200</v>
      </c>
      <c r="H145" s="1">
        <v>16200</v>
      </c>
      <c r="I145" s="1">
        <v>0</v>
      </c>
      <c r="J145" s="1">
        <v>0</v>
      </c>
      <c r="K145" s="1" t="str">
        <f>_xlfn.XLOOKUP(C145,'April 2025'!C:C,'April 2025'!K:K)</f>
        <v>L-6</v>
      </c>
    </row>
    <row r="146" spans="1:11" x14ac:dyDescent="0.3">
      <c r="A146" s="1">
        <v>145</v>
      </c>
      <c r="B146" s="1">
        <v>110</v>
      </c>
      <c r="C146" s="1" t="s">
        <v>176</v>
      </c>
      <c r="D146" s="1" t="s">
        <v>565</v>
      </c>
      <c r="E146" s="1" t="s">
        <v>53</v>
      </c>
      <c r="F146" s="5" t="str">
        <f>_xlfn.XLOOKUP(B146,'April 2025'!B:B,'April 2025'!F:F)</f>
        <v>Overseas</v>
      </c>
      <c r="G146" s="1">
        <v>11500</v>
      </c>
      <c r="H146" s="1">
        <v>11500</v>
      </c>
      <c r="I146" s="1">
        <v>0</v>
      </c>
      <c r="J146" s="1">
        <v>0</v>
      </c>
      <c r="K146" s="1" t="str">
        <f>_xlfn.XLOOKUP(C146,'April 2025'!C:C,'April 2025'!K:K)</f>
        <v>L-6</v>
      </c>
    </row>
    <row r="147" spans="1:11" x14ac:dyDescent="0.3">
      <c r="A147" s="1">
        <v>146</v>
      </c>
      <c r="B147" s="1">
        <v>111</v>
      </c>
      <c r="C147" s="1" t="s">
        <v>177</v>
      </c>
      <c r="D147" s="1" t="s">
        <v>565</v>
      </c>
      <c r="E147" s="1" t="s">
        <v>53</v>
      </c>
      <c r="F147" s="5" t="str">
        <f>_xlfn.XLOOKUP(B147,'April 2025'!B:B,'April 2025'!F:F)</f>
        <v>Manufacturing</v>
      </c>
      <c r="G147" s="1">
        <v>11500</v>
      </c>
      <c r="H147" s="1">
        <v>11500</v>
      </c>
      <c r="I147" s="1">
        <v>0</v>
      </c>
      <c r="J147" s="1">
        <v>0</v>
      </c>
      <c r="K147" s="1" t="str">
        <f>_xlfn.XLOOKUP(C147,'April 2025'!C:C,'April 2025'!K:K)</f>
        <v>L-6</v>
      </c>
    </row>
    <row r="148" spans="1:11" x14ac:dyDescent="0.3">
      <c r="A148" s="1">
        <v>147</v>
      </c>
      <c r="B148" s="1">
        <v>117</v>
      </c>
      <c r="C148" s="1" t="s">
        <v>178</v>
      </c>
      <c r="D148" s="1" t="s">
        <v>565</v>
      </c>
      <c r="E148" s="1" t="s">
        <v>53</v>
      </c>
      <c r="F148" s="5" t="str">
        <f>_xlfn.XLOOKUP(C148,'January 2025'!C:C,'January 2025'!F:F)</f>
        <v>Manufacturing</v>
      </c>
      <c r="G148" s="1">
        <v>10000</v>
      </c>
      <c r="H148" s="1">
        <v>10000</v>
      </c>
      <c r="I148" s="1">
        <v>0</v>
      </c>
      <c r="J148" s="1">
        <v>0</v>
      </c>
      <c r="K148" s="1" t="s">
        <v>557</v>
      </c>
    </row>
    <row r="149" spans="1:11" x14ac:dyDescent="0.3">
      <c r="A149" s="1">
        <v>148</v>
      </c>
      <c r="B149" s="1">
        <v>123</v>
      </c>
      <c r="C149" s="1" t="s">
        <v>179</v>
      </c>
      <c r="D149" s="1" t="s">
        <v>565</v>
      </c>
      <c r="E149" s="1" t="s">
        <v>35</v>
      </c>
      <c r="F149" s="5" t="str">
        <f>_xlfn.XLOOKUP(C149,'January 2025'!C:C,'January 2025'!F:F)</f>
        <v>Manufacturing</v>
      </c>
      <c r="G149" s="1">
        <v>12000</v>
      </c>
      <c r="H149" s="1">
        <v>12000</v>
      </c>
      <c r="I149" s="1">
        <v>0</v>
      </c>
      <c r="J149" s="1">
        <v>0</v>
      </c>
      <c r="K149" s="1" t="s">
        <v>556</v>
      </c>
    </row>
    <row r="150" spans="1:11" x14ac:dyDescent="0.3">
      <c r="A150" s="1">
        <v>149</v>
      </c>
      <c r="B150" s="1">
        <v>131</v>
      </c>
      <c r="C150" s="1" t="s">
        <v>180</v>
      </c>
      <c r="D150" s="1" t="s">
        <v>565</v>
      </c>
      <c r="E150" s="1" t="s">
        <v>53</v>
      </c>
      <c r="F150" s="5" t="str">
        <f>_xlfn.XLOOKUP(C150,'January 2025'!C:C,'January 2025'!F:F)</f>
        <v>Manufacturing</v>
      </c>
      <c r="G150" s="1">
        <v>11500</v>
      </c>
      <c r="H150" s="1">
        <v>11500</v>
      </c>
      <c r="I150" s="1">
        <v>0</v>
      </c>
      <c r="J150" s="1">
        <v>0</v>
      </c>
      <c r="K150" s="1" t="s">
        <v>557</v>
      </c>
    </row>
    <row r="151" spans="1:11" x14ac:dyDescent="0.3">
      <c r="A151" s="1">
        <v>150</v>
      </c>
      <c r="B151" s="1">
        <v>139</v>
      </c>
      <c r="C151" s="1" t="s">
        <v>181</v>
      </c>
      <c r="D151" s="1" t="s">
        <v>565</v>
      </c>
      <c r="E151" s="1" t="s">
        <v>53</v>
      </c>
      <c r="F151" s="5" t="str">
        <f>_xlfn.XLOOKUP(C151,'January 2025'!C:C,'January 2025'!F:F)</f>
        <v>Manufacturing</v>
      </c>
      <c r="G151" s="1">
        <v>11500</v>
      </c>
      <c r="H151" s="1">
        <v>11500</v>
      </c>
      <c r="I151" s="1">
        <v>0</v>
      </c>
      <c r="J151" s="1">
        <v>0</v>
      </c>
      <c r="K151" s="1" t="s">
        <v>557</v>
      </c>
    </row>
    <row r="152" spans="1:11" x14ac:dyDescent="0.3">
      <c r="A152" s="1">
        <v>151</v>
      </c>
      <c r="B152" s="1">
        <v>152</v>
      </c>
      <c r="C152" s="1" t="s">
        <v>182</v>
      </c>
      <c r="D152" s="1" t="s">
        <v>565</v>
      </c>
      <c r="E152" s="1" t="s">
        <v>35</v>
      </c>
      <c r="F152" s="5" t="str">
        <f>_xlfn.XLOOKUP(C152,'January 2025'!C:C,'January 2025'!F:F)</f>
        <v>Manufacturing</v>
      </c>
      <c r="G152" s="1">
        <v>13000</v>
      </c>
      <c r="H152" s="1">
        <v>13000</v>
      </c>
      <c r="I152" s="1">
        <v>0</v>
      </c>
      <c r="J152" s="1">
        <v>0</v>
      </c>
      <c r="K152" s="1" t="s">
        <v>556</v>
      </c>
    </row>
    <row r="153" spans="1:11" x14ac:dyDescent="0.3">
      <c r="A153" s="1">
        <v>152</v>
      </c>
      <c r="B153" s="1">
        <v>153</v>
      </c>
      <c r="C153" s="1" t="s">
        <v>183</v>
      </c>
      <c r="D153" s="1" t="s">
        <v>565</v>
      </c>
      <c r="E153" s="1" t="s">
        <v>35</v>
      </c>
      <c r="F153" s="5" t="str">
        <f>_xlfn.XLOOKUP(C153,'January 2025'!C:C,'January 2025'!F:F)</f>
        <v>Manufacturing</v>
      </c>
      <c r="G153" s="1">
        <v>13500</v>
      </c>
      <c r="H153" s="1">
        <v>13500</v>
      </c>
      <c r="I153" s="1">
        <v>0</v>
      </c>
      <c r="J153" s="1">
        <v>0</v>
      </c>
      <c r="K153" s="1" t="s">
        <v>556</v>
      </c>
    </row>
    <row r="154" spans="1:11" x14ac:dyDescent="0.3">
      <c r="A154" s="1">
        <v>153</v>
      </c>
      <c r="B154" s="1">
        <v>163</v>
      </c>
      <c r="C154" s="1" t="s">
        <v>184</v>
      </c>
      <c r="D154" s="1" t="s">
        <v>565</v>
      </c>
      <c r="E154" s="1" t="s">
        <v>35</v>
      </c>
      <c r="F154" s="5" t="str">
        <f>_xlfn.XLOOKUP(C154,'January 2025'!C:C,'January 2025'!F:F)</f>
        <v>Manufacturing</v>
      </c>
      <c r="G154" s="1">
        <v>11000</v>
      </c>
      <c r="H154" s="1">
        <v>11000</v>
      </c>
      <c r="I154" s="1">
        <v>0</v>
      </c>
      <c r="J154" s="1">
        <v>0</v>
      </c>
      <c r="K154" s="1" t="s">
        <v>556</v>
      </c>
    </row>
    <row r="155" spans="1:11" x14ac:dyDescent="0.3">
      <c r="A155" s="1">
        <v>154</v>
      </c>
      <c r="B155" s="1">
        <v>170</v>
      </c>
      <c r="C155" s="1" t="s">
        <v>72</v>
      </c>
      <c r="D155" s="1" t="s">
        <v>565</v>
      </c>
      <c r="E155" s="1" t="s">
        <v>67</v>
      </c>
      <c r="F155" s="5" t="str">
        <f>_xlfn.XLOOKUP(C155,'[1]March 2025'!$C:$C,'[1]March 2025'!$I:$I,"")</f>
        <v>Manufacturing</v>
      </c>
      <c r="G155" s="1">
        <v>30000</v>
      </c>
      <c r="H155" s="1">
        <v>30000</v>
      </c>
      <c r="I155" s="1">
        <v>0</v>
      </c>
      <c r="J155" s="1">
        <v>0</v>
      </c>
      <c r="K155" s="1" t="str">
        <f>_xlfn.XLOOKUP(C155,'April 2025'!C:C,'April 2025'!K:K)</f>
        <v>L-9</v>
      </c>
    </row>
    <row r="156" spans="1:11" x14ac:dyDescent="0.3">
      <c r="A156" s="1">
        <v>155</v>
      </c>
      <c r="B156" s="1">
        <v>171</v>
      </c>
      <c r="C156" s="1" t="s">
        <v>73</v>
      </c>
      <c r="D156" s="1" t="s">
        <v>565</v>
      </c>
      <c r="E156" s="1" t="s">
        <v>67</v>
      </c>
      <c r="F156" s="5" t="str">
        <f>_xlfn.XLOOKUP(C156,'January 2025'!C:C,'January 2025'!F:F)</f>
        <v>Manufacturing</v>
      </c>
      <c r="G156" s="1">
        <v>30000</v>
      </c>
      <c r="H156" s="1">
        <v>30000</v>
      </c>
      <c r="I156" s="1">
        <v>0</v>
      </c>
      <c r="J156" s="1">
        <v>0</v>
      </c>
      <c r="K156" s="1" t="str">
        <f>_xlfn.XLOOKUP(C156,'April 2025'!C:C,'April 2025'!K:K)</f>
        <v>L-9</v>
      </c>
    </row>
    <row r="157" spans="1:11" x14ac:dyDescent="0.3">
      <c r="A157" s="1">
        <v>156</v>
      </c>
      <c r="B157" s="1">
        <v>175</v>
      </c>
      <c r="C157" s="1" t="s">
        <v>185</v>
      </c>
      <c r="D157" s="1" t="s">
        <v>565</v>
      </c>
      <c r="E157" s="1" t="s">
        <v>53</v>
      </c>
      <c r="F157" s="5" t="str">
        <f>_xlfn.XLOOKUP(C157,'January 2025'!C:C,'January 2025'!F:F)</f>
        <v>Manufacturing</v>
      </c>
      <c r="G157" s="1">
        <v>8000</v>
      </c>
      <c r="H157" s="1">
        <v>8000</v>
      </c>
      <c r="I157" s="1">
        <v>0</v>
      </c>
      <c r="J157" s="1">
        <v>0</v>
      </c>
      <c r="K157" s="1" t="s">
        <v>557</v>
      </c>
    </row>
    <row r="158" spans="1:11" x14ac:dyDescent="0.3">
      <c r="A158" s="1">
        <v>157</v>
      </c>
      <c r="B158" s="1">
        <v>178</v>
      </c>
      <c r="C158" s="1" t="s">
        <v>186</v>
      </c>
      <c r="D158" s="1" t="s">
        <v>565</v>
      </c>
      <c r="E158" s="1" t="s">
        <v>53</v>
      </c>
      <c r="F158" s="5" t="str">
        <f>_xlfn.XLOOKUP(C158,'January 2025'!C:C,'January 2025'!F:F)</f>
        <v>Manufacturing</v>
      </c>
      <c r="G158" s="1">
        <v>11000</v>
      </c>
      <c r="H158" s="1">
        <v>11000</v>
      </c>
      <c r="I158" s="1">
        <v>0</v>
      </c>
      <c r="J158" s="1">
        <v>0</v>
      </c>
      <c r="K158" s="1" t="s">
        <v>557</v>
      </c>
    </row>
    <row r="159" spans="1:11" x14ac:dyDescent="0.3">
      <c r="A159" s="1">
        <v>158</v>
      </c>
      <c r="B159" s="1">
        <v>10088</v>
      </c>
      <c r="C159" s="1" t="s">
        <v>187</v>
      </c>
      <c r="D159" s="1" t="s">
        <v>565</v>
      </c>
      <c r="E159" s="1" t="s">
        <v>35</v>
      </c>
      <c r="F159" s="5" t="str">
        <f>_xlfn.XLOOKUP(C159,'[1]March 2025'!$C:$C,'[1]March 2025'!$I:$I,"")</f>
        <v>Manufacturing</v>
      </c>
      <c r="G159" s="1">
        <v>12500</v>
      </c>
      <c r="H159" s="1">
        <v>12500</v>
      </c>
      <c r="I159" s="1">
        <v>0</v>
      </c>
      <c r="J159" s="1">
        <v>0</v>
      </c>
      <c r="K159" s="1" t="s">
        <v>556</v>
      </c>
    </row>
    <row r="160" spans="1:11" x14ac:dyDescent="0.3">
      <c r="A160" s="1">
        <v>159</v>
      </c>
      <c r="B160" s="1">
        <v>187</v>
      </c>
      <c r="C160" s="1" t="s">
        <v>188</v>
      </c>
      <c r="D160" s="1" t="s">
        <v>565</v>
      </c>
      <c r="E160" s="1" t="s">
        <v>53</v>
      </c>
      <c r="F160" s="5" t="str">
        <f>_xlfn.XLOOKUP(C160,'January 2025'!C:C,'January 2025'!F:F)</f>
        <v>Manufacturing</v>
      </c>
      <c r="G160" s="1">
        <v>8000</v>
      </c>
      <c r="H160" s="1">
        <v>8000</v>
      </c>
      <c r="I160" s="1">
        <v>0</v>
      </c>
      <c r="J160" s="1">
        <v>0</v>
      </c>
      <c r="K160" s="1" t="s">
        <v>557</v>
      </c>
    </row>
    <row r="161" spans="1:11" x14ac:dyDescent="0.3">
      <c r="A161" s="1">
        <v>160</v>
      </c>
      <c r="B161" s="1">
        <v>20</v>
      </c>
      <c r="C161" s="1" t="s">
        <v>189</v>
      </c>
      <c r="D161" s="1" t="s">
        <v>565</v>
      </c>
      <c r="E161" s="1" t="s">
        <v>8</v>
      </c>
      <c r="F161" s="5" t="str">
        <f>_xlfn.XLOOKUP(B161,'April 2025'!B:B,'April 2025'!F:F)</f>
        <v>Manufacturing</v>
      </c>
      <c r="G161" s="1">
        <v>8500</v>
      </c>
      <c r="H161" s="1">
        <v>8500</v>
      </c>
      <c r="I161" s="1">
        <v>0</v>
      </c>
      <c r="J161" s="1">
        <v>0</v>
      </c>
      <c r="K161" s="1" t="str">
        <f>_xlfn.XLOOKUP(C161,'April 2025'!C:C,'April 2025'!K:K)</f>
        <v>L-9</v>
      </c>
    </row>
    <row r="162" spans="1:11" x14ac:dyDescent="0.3">
      <c r="A162" s="1">
        <v>161</v>
      </c>
      <c r="B162" s="1">
        <v>41</v>
      </c>
      <c r="C162" s="1" t="s">
        <v>66</v>
      </c>
      <c r="D162" s="1" t="s">
        <v>565</v>
      </c>
      <c r="E162" s="1" t="s">
        <v>67</v>
      </c>
      <c r="F162" s="5" t="str">
        <f>_xlfn.XLOOKUP(B162,'April 2025'!B:B,'April 2025'!F:F)</f>
        <v>Manufacturing</v>
      </c>
      <c r="G162" s="1">
        <v>30000</v>
      </c>
      <c r="H162" s="1">
        <v>30000</v>
      </c>
      <c r="I162" s="1">
        <v>0</v>
      </c>
      <c r="J162" s="1">
        <v>0</v>
      </c>
      <c r="K162" s="1" t="str">
        <f>_xlfn.XLOOKUP(C162,'April 2025'!C:C,'April 2025'!K:K)</f>
        <v>L-9</v>
      </c>
    </row>
    <row r="163" spans="1:11" x14ac:dyDescent="0.3">
      <c r="A163" s="1">
        <v>162</v>
      </c>
      <c r="B163" s="1">
        <v>43</v>
      </c>
      <c r="C163" s="1" t="s">
        <v>68</v>
      </c>
      <c r="D163" s="1" t="s">
        <v>565</v>
      </c>
      <c r="E163" s="1" t="s">
        <v>67</v>
      </c>
      <c r="F163" s="5" t="str">
        <f>_xlfn.XLOOKUP(B163,'April 2025'!B:B,'April 2025'!F:F)</f>
        <v>Manufacturing</v>
      </c>
      <c r="G163" s="1">
        <v>30000</v>
      </c>
      <c r="H163" s="1">
        <v>30000</v>
      </c>
      <c r="I163" s="1">
        <v>0</v>
      </c>
      <c r="J163" s="1">
        <v>0</v>
      </c>
      <c r="K163" s="1" t="str">
        <f>_xlfn.XLOOKUP(C163,'April 2025'!C:C,'April 2025'!K:K)</f>
        <v>L-9</v>
      </c>
    </row>
    <row r="164" spans="1:11" x14ac:dyDescent="0.3">
      <c r="A164" s="1">
        <v>163</v>
      </c>
      <c r="B164" s="1">
        <v>44</v>
      </c>
      <c r="C164" s="1" t="s">
        <v>69</v>
      </c>
      <c r="D164" s="1" t="s">
        <v>565</v>
      </c>
      <c r="E164" s="1" t="s">
        <v>67</v>
      </c>
      <c r="F164" s="5" t="str">
        <f>_xlfn.XLOOKUP(B164,'April 2025'!B:B,'April 2025'!F:F)</f>
        <v>Manufacturing</v>
      </c>
      <c r="G164" s="1">
        <v>30000</v>
      </c>
      <c r="H164" s="1">
        <v>30000</v>
      </c>
      <c r="I164" s="1">
        <v>0</v>
      </c>
      <c r="J164" s="1">
        <v>0</v>
      </c>
      <c r="K164" s="1" t="str">
        <f>_xlfn.XLOOKUP(C164,'April 2025'!C:C,'April 2025'!K:K)</f>
        <v>L-9</v>
      </c>
    </row>
    <row r="165" spans="1:11" x14ac:dyDescent="0.3">
      <c r="A165" s="1">
        <v>164</v>
      </c>
      <c r="B165" s="1">
        <v>45</v>
      </c>
      <c r="C165" s="1" t="s">
        <v>190</v>
      </c>
      <c r="D165" s="1" t="s">
        <v>565</v>
      </c>
      <c r="E165" s="1" t="s">
        <v>67</v>
      </c>
      <c r="F165" s="5" t="str">
        <f>_xlfn.XLOOKUP(C165,'January 2025'!C:C,'January 2025'!F:F)</f>
        <v>Manufacturing</v>
      </c>
      <c r="G165" s="1">
        <v>30000</v>
      </c>
      <c r="H165" s="1">
        <v>30000</v>
      </c>
      <c r="I165" s="1">
        <v>0</v>
      </c>
      <c r="J165" s="1">
        <v>0</v>
      </c>
      <c r="K165" s="1" t="s">
        <v>556</v>
      </c>
    </row>
    <row r="166" spans="1:11" x14ac:dyDescent="0.3">
      <c r="A166" s="1">
        <v>165</v>
      </c>
      <c r="B166" s="1">
        <v>63</v>
      </c>
      <c r="C166" s="1" t="s">
        <v>71</v>
      </c>
      <c r="D166" s="1" t="s">
        <v>565</v>
      </c>
      <c r="E166" s="1" t="s">
        <v>67</v>
      </c>
      <c r="F166" s="5" t="str">
        <f>_xlfn.XLOOKUP(B166,'April 2025'!B:B,'April 2025'!F:F)</f>
        <v>Manufacturing</v>
      </c>
      <c r="G166" s="1">
        <v>30000</v>
      </c>
      <c r="H166" s="1">
        <v>30000</v>
      </c>
      <c r="I166" s="1">
        <v>0</v>
      </c>
      <c r="J166" s="1">
        <v>0</v>
      </c>
      <c r="K166" s="1" t="str">
        <f>_xlfn.XLOOKUP(C166,'April 2025'!C:C,'April 2025'!K:K)</f>
        <v>L-9</v>
      </c>
    </row>
    <row r="167" spans="1:11" x14ac:dyDescent="0.3">
      <c r="A167" s="1">
        <v>166</v>
      </c>
      <c r="B167" s="1">
        <v>65</v>
      </c>
      <c r="C167" s="1" t="s">
        <v>187</v>
      </c>
      <c r="D167" s="1" t="s">
        <v>565</v>
      </c>
      <c r="E167" s="1" t="s">
        <v>35</v>
      </c>
      <c r="F167" s="5" t="str">
        <f>_xlfn.XLOOKUP(B167,'April 2025'!B:B,'April 2025'!F:F)</f>
        <v>Manufacturing</v>
      </c>
      <c r="G167" s="1">
        <v>11000</v>
      </c>
      <c r="H167" s="1">
        <v>11000</v>
      </c>
      <c r="I167" s="1">
        <v>0</v>
      </c>
      <c r="J167" s="1">
        <v>0</v>
      </c>
      <c r="K167" s="1" t="s">
        <v>556</v>
      </c>
    </row>
    <row r="168" spans="1:11" x14ac:dyDescent="0.3">
      <c r="A168" s="1">
        <v>167</v>
      </c>
      <c r="B168" s="1">
        <v>67</v>
      </c>
      <c r="C168" s="1" t="s">
        <v>191</v>
      </c>
      <c r="D168" s="1" t="s">
        <v>565</v>
      </c>
      <c r="E168" s="1" t="s">
        <v>35</v>
      </c>
      <c r="F168" s="5" t="str">
        <f>_xlfn.XLOOKUP(B168,'April 2025'!B:B,'April 2025'!F:F)</f>
        <v>Manufacturing</v>
      </c>
      <c r="G168" s="1">
        <v>13500</v>
      </c>
      <c r="H168" s="1">
        <v>13500</v>
      </c>
      <c r="I168" s="1">
        <v>0</v>
      </c>
      <c r="J168" s="1">
        <v>0</v>
      </c>
      <c r="K168" s="1" t="str">
        <f>_xlfn.XLOOKUP(C168,'April 2025'!C:C,'April 2025'!K:K)</f>
        <v>L-9</v>
      </c>
    </row>
    <row r="169" spans="1:11" x14ac:dyDescent="0.3">
      <c r="A169" s="1">
        <v>168</v>
      </c>
      <c r="B169" s="1">
        <v>83</v>
      </c>
      <c r="C169" s="1" t="s">
        <v>192</v>
      </c>
      <c r="D169" s="1" t="s">
        <v>565</v>
      </c>
      <c r="E169" s="1" t="s">
        <v>53</v>
      </c>
      <c r="F169" s="5" t="str">
        <f>_xlfn.XLOOKUP(B169,'April 2025'!B:B,'April 2025'!F:F)</f>
        <v>Domestic</v>
      </c>
      <c r="G169" s="1">
        <v>11500</v>
      </c>
      <c r="H169" s="1">
        <v>11500</v>
      </c>
      <c r="I169" s="1">
        <v>0</v>
      </c>
      <c r="J169" s="1">
        <v>0</v>
      </c>
      <c r="K169" s="1" t="str">
        <f>_xlfn.XLOOKUP(C169,'April 2025'!C:C,'April 2025'!K:K)</f>
        <v>L-9</v>
      </c>
    </row>
    <row r="170" spans="1:11" x14ac:dyDescent="0.3">
      <c r="A170" s="1">
        <v>169</v>
      </c>
      <c r="B170" s="1">
        <v>85</v>
      </c>
      <c r="C170" s="1" t="s">
        <v>193</v>
      </c>
      <c r="D170" s="1" t="s">
        <v>565</v>
      </c>
      <c r="E170" s="1" t="s">
        <v>61</v>
      </c>
      <c r="F170" s="5" t="str">
        <f>_xlfn.XLOOKUP(B170,'April 2025'!B:B,'April 2025'!F:F)</f>
        <v xml:space="preserve">Admin </v>
      </c>
      <c r="G170" s="1">
        <v>14000</v>
      </c>
      <c r="H170" s="1">
        <v>14000</v>
      </c>
      <c r="I170" s="1">
        <v>0</v>
      </c>
      <c r="J170" s="1">
        <v>0</v>
      </c>
      <c r="K170" s="1" t="str">
        <f>_xlfn.XLOOKUP(C170,'April 2025'!C:C,'April 2025'!K:K)</f>
        <v>L-9</v>
      </c>
    </row>
    <row r="171" spans="1:11" x14ac:dyDescent="0.3">
      <c r="A171" s="1">
        <v>170</v>
      </c>
      <c r="B171" s="1">
        <v>87</v>
      </c>
      <c r="C171" s="1" t="s">
        <v>194</v>
      </c>
      <c r="D171" s="1" t="s">
        <v>565</v>
      </c>
      <c r="E171" s="1" t="s">
        <v>53</v>
      </c>
      <c r="F171" s="5" t="str">
        <f>_xlfn.XLOOKUP(B171,'April 2025'!B:B,'April 2025'!F:F)</f>
        <v>D2C</v>
      </c>
      <c r="G171" s="1">
        <v>10500</v>
      </c>
      <c r="H171" s="1"/>
      <c r="I171" s="1">
        <v>0</v>
      </c>
      <c r="J171" s="1">
        <v>0</v>
      </c>
      <c r="K171" s="1" t="str">
        <f>_xlfn.XLOOKUP(C171,'April 2025'!C:C,'April 2025'!K:K)</f>
        <v>L-9</v>
      </c>
    </row>
    <row r="172" spans="1:11" x14ac:dyDescent="0.3">
      <c r="A172" s="1">
        <v>171</v>
      </c>
      <c r="B172" s="1">
        <v>88</v>
      </c>
      <c r="C172" s="1" t="s">
        <v>195</v>
      </c>
      <c r="D172" s="1" t="s">
        <v>565</v>
      </c>
      <c r="E172" s="1" t="s">
        <v>53</v>
      </c>
      <c r="F172" s="5" t="str">
        <f>_xlfn.XLOOKUP(B172,'April 2025'!B:B,'April 2025'!F:F)</f>
        <v>D2C</v>
      </c>
      <c r="G172" s="1">
        <v>11000</v>
      </c>
      <c r="H172" s="1">
        <v>11000</v>
      </c>
      <c r="I172" s="1">
        <v>0</v>
      </c>
      <c r="J172" s="1">
        <v>0</v>
      </c>
      <c r="K172" s="1" t="str">
        <f>_xlfn.XLOOKUP(C172,'April 2025'!C:C,'April 2025'!K:K)</f>
        <v>L-9</v>
      </c>
    </row>
    <row r="173" spans="1:11" x14ac:dyDescent="0.3">
      <c r="A173" s="1">
        <v>172</v>
      </c>
      <c r="B173" s="1">
        <v>92</v>
      </c>
      <c r="C173" s="1" t="s">
        <v>196</v>
      </c>
      <c r="D173" s="1" t="s">
        <v>565</v>
      </c>
      <c r="E173" s="1" t="s">
        <v>55</v>
      </c>
      <c r="F173" s="5" t="str">
        <f>_xlfn.XLOOKUP(B173,'April 2025'!B:B,'April 2025'!F:F)</f>
        <v>Domestic</v>
      </c>
      <c r="G173" s="1">
        <v>13000</v>
      </c>
      <c r="H173" s="1">
        <v>13000</v>
      </c>
      <c r="I173" s="1">
        <v>0</v>
      </c>
      <c r="J173" s="1">
        <v>0</v>
      </c>
      <c r="K173" s="1" t="str">
        <f>_xlfn.XLOOKUP(C173,'April 2025'!C:C,'April 2025'!K:K)</f>
        <v>L-9</v>
      </c>
    </row>
    <row r="174" spans="1:11" x14ac:dyDescent="0.3">
      <c r="A174" s="1">
        <v>173</v>
      </c>
      <c r="B174" s="1">
        <v>97</v>
      </c>
      <c r="C174" s="1" t="s">
        <v>197</v>
      </c>
      <c r="D174" s="1" t="s">
        <v>565</v>
      </c>
      <c r="E174" s="1" t="s">
        <v>35</v>
      </c>
      <c r="F174" s="5" t="str">
        <f>_xlfn.XLOOKUP(B174,'April 2025'!B:B,'April 2025'!F:F)</f>
        <v>Manufacturing</v>
      </c>
      <c r="G174" s="1">
        <v>14000</v>
      </c>
      <c r="H174" s="1">
        <v>14000</v>
      </c>
      <c r="I174" s="1">
        <v>0</v>
      </c>
      <c r="J174" s="1">
        <v>0</v>
      </c>
      <c r="K174" s="1" t="str">
        <f>_xlfn.XLOOKUP(C174,'April 2025'!C:C,'April 2025'!K:K)</f>
        <v>L-9</v>
      </c>
    </row>
    <row r="175" spans="1:11" x14ac:dyDescent="0.3">
      <c r="A175" s="1">
        <v>174</v>
      </c>
      <c r="B175" s="1">
        <v>98</v>
      </c>
      <c r="C175" s="1" t="s">
        <v>198</v>
      </c>
      <c r="D175" s="1" t="s">
        <v>565</v>
      </c>
      <c r="E175" s="1" t="s">
        <v>8</v>
      </c>
      <c r="F175" s="5" t="str">
        <f>_xlfn.XLOOKUP(B175,'April 2025'!B:B,'April 2025'!F:F)</f>
        <v>Manufacturing</v>
      </c>
      <c r="G175" s="1">
        <v>9000</v>
      </c>
      <c r="H175" s="1">
        <v>9000</v>
      </c>
      <c r="I175" s="1">
        <v>0</v>
      </c>
      <c r="J175" s="1">
        <v>0</v>
      </c>
      <c r="K175" s="1" t="str">
        <f>_xlfn.XLOOKUP(C175,'April 2025'!C:C,'April 2025'!K:K)</f>
        <v>L-9</v>
      </c>
    </row>
    <row r="176" spans="1:11" x14ac:dyDescent="0.3">
      <c r="A176" s="1">
        <v>175</v>
      </c>
      <c r="B176" s="1">
        <v>50</v>
      </c>
      <c r="C176" s="1" t="s">
        <v>199</v>
      </c>
      <c r="D176" s="1" t="s">
        <v>564</v>
      </c>
      <c r="E176" s="1" t="s">
        <v>10</v>
      </c>
      <c r="F176" s="5" t="str">
        <f>_xlfn.XLOOKUP(B176,'April 2025'!B:B,'April 2025'!F:F)</f>
        <v>Manufacturing</v>
      </c>
      <c r="G176" s="1">
        <v>30000</v>
      </c>
      <c r="H176" s="1">
        <v>30000</v>
      </c>
      <c r="I176" s="1">
        <v>0</v>
      </c>
      <c r="J176" s="1">
        <v>0</v>
      </c>
      <c r="K176" s="1" t="str">
        <f>_xlfn.XLOOKUP(C176,'April 2025'!C:C,'April 2025'!K:K)</f>
        <v>L-6</v>
      </c>
    </row>
    <row r="177" spans="1:11" x14ac:dyDescent="0.3">
      <c r="A177" s="1">
        <v>176</v>
      </c>
      <c r="B177" s="1">
        <v>10089</v>
      </c>
      <c r="C177" s="1" t="s">
        <v>201</v>
      </c>
      <c r="D177" s="1" t="s">
        <v>565</v>
      </c>
      <c r="E177" s="1" t="s">
        <v>35</v>
      </c>
      <c r="F177" s="5" t="str">
        <f>_xlfn.XLOOKUP(C177,'January 2025'!C:C,'January 2025'!F:F)</f>
        <v>Manufacturing</v>
      </c>
      <c r="G177" s="1">
        <v>14000</v>
      </c>
      <c r="H177" s="1">
        <v>14000</v>
      </c>
      <c r="I177" s="1">
        <v>0</v>
      </c>
      <c r="J177" s="1">
        <v>0</v>
      </c>
      <c r="K177" s="1" t="s">
        <v>556</v>
      </c>
    </row>
    <row r="178" spans="1:11" x14ac:dyDescent="0.3">
      <c r="A178" s="1">
        <v>177</v>
      </c>
      <c r="B178" s="1">
        <v>10090</v>
      </c>
      <c r="C178" s="1" t="s">
        <v>202</v>
      </c>
      <c r="D178" s="1" t="s">
        <v>565</v>
      </c>
      <c r="E178" s="1" t="s">
        <v>8</v>
      </c>
      <c r="F178" s="5" t="str">
        <f>_xlfn.XLOOKUP(C178,'January 2025'!C:C,'January 2025'!F:F)</f>
        <v>Manufacturing</v>
      </c>
      <c r="G178" s="1">
        <v>8000</v>
      </c>
      <c r="H178" s="1">
        <v>8000</v>
      </c>
      <c r="I178" s="1">
        <v>0</v>
      </c>
      <c r="J178" s="1">
        <v>0</v>
      </c>
      <c r="K178" s="1" t="s">
        <v>556</v>
      </c>
    </row>
    <row r="179" spans="1:11" x14ac:dyDescent="0.3">
      <c r="A179" s="1">
        <v>178</v>
      </c>
      <c r="B179" s="1">
        <v>10091</v>
      </c>
      <c r="C179" s="1" t="s">
        <v>203</v>
      </c>
      <c r="D179" s="1" t="s">
        <v>565</v>
      </c>
      <c r="E179" s="1" t="s">
        <v>53</v>
      </c>
      <c r="F179" s="5" t="str">
        <f>_xlfn.XLOOKUP(C179,'January 2025'!C:C,'January 2025'!F:F)</f>
        <v>Manufacturing</v>
      </c>
      <c r="G179" s="1">
        <v>11000</v>
      </c>
      <c r="H179" s="1">
        <v>11000</v>
      </c>
      <c r="I179" s="1">
        <v>0</v>
      </c>
      <c r="J179" s="1">
        <v>0</v>
      </c>
      <c r="K179" s="1" t="s">
        <v>557</v>
      </c>
    </row>
    <row r="180" spans="1:11" x14ac:dyDescent="0.3">
      <c r="A180" s="1">
        <v>179</v>
      </c>
      <c r="B180" s="1">
        <v>10092</v>
      </c>
      <c r="C180" s="1" t="s">
        <v>204</v>
      </c>
      <c r="D180" s="1" t="s">
        <v>565</v>
      </c>
      <c r="E180" s="1" t="s">
        <v>10</v>
      </c>
      <c r="F180" s="5" t="str">
        <f>_xlfn.XLOOKUP(B180,'April 2025'!B:B,'April 2025'!F:F)</f>
        <v>Manufacturing</v>
      </c>
      <c r="G180" s="1">
        <v>17000</v>
      </c>
      <c r="H180" s="1">
        <v>17000</v>
      </c>
      <c r="I180" s="1">
        <v>0</v>
      </c>
      <c r="J180" s="1">
        <v>0</v>
      </c>
      <c r="K180" s="1" t="str">
        <f>_xlfn.XLOOKUP(C180,'April 2025'!C:C,'April 2025'!K:K)</f>
        <v>L-8</v>
      </c>
    </row>
    <row r="181" spans="1:11" x14ac:dyDescent="0.3">
      <c r="A181" s="1">
        <v>180</v>
      </c>
      <c r="B181" s="1">
        <v>10093</v>
      </c>
      <c r="C181" s="1" t="s">
        <v>205</v>
      </c>
      <c r="D181" s="1" t="s">
        <v>565</v>
      </c>
      <c r="E181" s="1" t="s">
        <v>55</v>
      </c>
      <c r="F181" s="5" t="str">
        <f>_xlfn.XLOOKUP(B181,'April 2025'!B:B,'April 2025'!F:F)</f>
        <v>Manufacturing</v>
      </c>
      <c r="G181" s="1">
        <v>12500</v>
      </c>
      <c r="H181" s="1">
        <v>12500</v>
      </c>
      <c r="I181" s="1">
        <v>0</v>
      </c>
      <c r="J181" s="1">
        <v>0</v>
      </c>
      <c r="K181" s="1" t="str">
        <f>_xlfn.XLOOKUP(C181,'April 2025'!C:C,'April 2025'!K:K)</f>
        <v>L-7</v>
      </c>
    </row>
    <row r="182" spans="1:11" x14ac:dyDescent="0.3">
      <c r="A182" s="1">
        <v>181</v>
      </c>
      <c r="B182" s="1">
        <v>10094</v>
      </c>
      <c r="C182" s="1" t="s">
        <v>206</v>
      </c>
      <c r="D182" s="1" t="s">
        <v>565</v>
      </c>
      <c r="E182" s="1" t="s">
        <v>53</v>
      </c>
      <c r="F182" s="5" t="str">
        <f>_xlfn.XLOOKUP(C182,'[1]March 2025'!$C:$C,'[1]March 2025'!$I:$I,"")</f>
        <v>Domestic</v>
      </c>
      <c r="G182" s="1">
        <v>11000</v>
      </c>
      <c r="H182" s="1">
        <v>11000</v>
      </c>
      <c r="I182" s="1">
        <v>0</v>
      </c>
      <c r="J182" s="1">
        <v>0</v>
      </c>
      <c r="K182" s="1" t="s">
        <v>557</v>
      </c>
    </row>
    <row r="183" spans="1:11" x14ac:dyDescent="0.3">
      <c r="A183" s="1">
        <v>182</v>
      </c>
      <c r="B183" s="1">
        <v>10095</v>
      </c>
      <c r="C183" s="1" t="s">
        <v>122</v>
      </c>
      <c r="D183" s="1" t="s">
        <v>565</v>
      </c>
      <c r="E183" s="1" t="s">
        <v>53</v>
      </c>
      <c r="F183" s="5" t="str">
        <f>_xlfn.XLOOKUP(C183,'[1]March 2025'!$C:$C,'[1]March 2025'!$I:$I,"")</f>
        <v>Domestic</v>
      </c>
      <c r="G183" s="1">
        <v>11000</v>
      </c>
      <c r="H183" s="1">
        <v>11000</v>
      </c>
      <c r="I183" s="1">
        <v>0</v>
      </c>
      <c r="J183" s="1">
        <v>0</v>
      </c>
      <c r="K183" s="1" t="str">
        <f>_xlfn.XLOOKUP(C183,'April 2025'!C:C,'April 2025'!K:K)</f>
        <v>L-9</v>
      </c>
    </row>
    <row r="184" spans="1:11" x14ac:dyDescent="0.3">
      <c r="A184" s="1">
        <v>183</v>
      </c>
      <c r="B184" s="1">
        <v>51</v>
      </c>
      <c r="C184" s="1" t="s">
        <v>207</v>
      </c>
      <c r="D184" s="1" t="s">
        <v>564</v>
      </c>
      <c r="E184" s="1" t="s">
        <v>208</v>
      </c>
      <c r="F184" s="5" t="str">
        <f ca="1">_xlfn.XLOOKUP(C184,'January 2025'!C:C,'January 2025'!F:F)</f>
        <v>Manufacturing</v>
      </c>
      <c r="G184" s="1">
        <v>35000</v>
      </c>
      <c r="H184" s="1">
        <v>35000</v>
      </c>
      <c r="I184" s="1">
        <v>0</v>
      </c>
      <c r="J184" s="1">
        <v>0</v>
      </c>
      <c r="K184" s="1" t="s">
        <v>553</v>
      </c>
    </row>
    <row r="185" spans="1:11" x14ac:dyDescent="0.3">
      <c r="A185" s="1">
        <v>184</v>
      </c>
      <c r="B185" s="1">
        <v>52</v>
      </c>
      <c r="C185" s="1" t="s">
        <v>209</v>
      </c>
      <c r="D185" s="1" t="s">
        <v>564</v>
      </c>
      <c r="E185" s="1" t="s">
        <v>47</v>
      </c>
      <c r="F185" s="5" t="str">
        <f>_xlfn.XLOOKUP(C185,'[1]March 2025'!$C:$C,'[1]March 2025'!$I:$I,"")</f>
        <v>Domestic</v>
      </c>
      <c r="G185" s="1">
        <v>50050</v>
      </c>
      <c r="H185" s="1">
        <v>48250</v>
      </c>
      <c r="I185" s="1">
        <v>1950</v>
      </c>
      <c r="J185" s="1">
        <v>0</v>
      </c>
      <c r="K185" s="1" t="s">
        <v>553</v>
      </c>
    </row>
    <row r="186" spans="1:11" x14ac:dyDescent="0.3">
      <c r="A186" s="1">
        <v>185</v>
      </c>
      <c r="B186" s="1">
        <v>10096</v>
      </c>
      <c r="C186" s="1" t="s">
        <v>210</v>
      </c>
      <c r="D186" s="1" t="s">
        <v>565</v>
      </c>
      <c r="E186" s="1" t="s">
        <v>61</v>
      </c>
      <c r="F186" s="5" t="str">
        <f>_xlfn.XLOOKUP(B186,'April 2025'!B:B,'April 2025'!F:F)</f>
        <v>Manufacturing</v>
      </c>
      <c r="G186" s="1">
        <v>13000</v>
      </c>
      <c r="H186" s="1">
        <v>13000</v>
      </c>
      <c r="I186" s="1">
        <v>0</v>
      </c>
      <c r="J186" s="1">
        <v>0</v>
      </c>
      <c r="K186" s="1" t="str">
        <f>_xlfn.XLOOKUP(C186,'April 2025'!C:C,'April 2025'!K:K)</f>
        <v>L-9</v>
      </c>
    </row>
    <row r="187" spans="1:11" x14ac:dyDescent="0.3">
      <c r="A187" s="1">
        <v>186</v>
      </c>
      <c r="B187" s="1">
        <v>10097</v>
      </c>
      <c r="C187" s="1" t="s">
        <v>211</v>
      </c>
      <c r="D187" s="1" t="s">
        <v>565</v>
      </c>
      <c r="E187" s="1" t="s">
        <v>53</v>
      </c>
      <c r="F187" s="5" t="str">
        <f>_xlfn.XLOOKUP(B187,'April 2025'!B:B,'April 2025'!F:F)</f>
        <v>Manufacturing</v>
      </c>
      <c r="G187" s="1">
        <v>12000</v>
      </c>
      <c r="H187" s="1">
        <v>12000</v>
      </c>
      <c r="I187" s="1">
        <v>0</v>
      </c>
      <c r="J187" s="1">
        <v>0</v>
      </c>
      <c r="K187" s="1" t="str">
        <f>_xlfn.XLOOKUP(C187,'April 2025'!C:C,'April 2025'!K:K)</f>
        <v>L-10</v>
      </c>
    </row>
    <row r="188" spans="1:11" x14ac:dyDescent="0.3">
      <c r="A188" s="1">
        <v>187</v>
      </c>
      <c r="B188" s="1">
        <v>10098</v>
      </c>
      <c r="C188" s="1" t="s">
        <v>203</v>
      </c>
      <c r="D188" s="1" t="s">
        <v>565</v>
      </c>
      <c r="E188" s="1" t="s">
        <v>53</v>
      </c>
      <c r="F188" s="5" t="str">
        <f>_xlfn.XLOOKUP(C188,'January 2025'!C:C,'January 2025'!F:F)</f>
        <v>Manufacturing</v>
      </c>
      <c r="G188" s="1">
        <v>10500</v>
      </c>
      <c r="H188" s="1">
        <v>10500</v>
      </c>
      <c r="I188" s="1">
        <v>0</v>
      </c>
      <c r="J188" s="1">
        <v>0</v>
      </c>
      <c r="K188" s="1" t="s">
        <v>557</v>
      </c>
    </row>
    <row r="189" spans="1:11" x14ac:dyDescent="0.3">
      <c r="A189" s="1">
        <v>188</v>
      </c>
      <c r="B189" s="1">
        <v>10099</v>
      </c>
      <c r="C189" s="1" t="s">
        <v>212</v>
      </c>
      <c r="D189" s="1" t="s">
        <v>565</v>
      </c>
      <c r="E189" s="1" t="s">
        <v>53</v>
      </c>
      <c r="F189" s="5" t="str">
        <f>_xlfn.XLOOKUP(B189,'April 2025'!B:B,'April 2025'!F:F)</f>
        <v>Manufacturing</v>
      </c>
      <c r="G189" s="1">
        <v>11000</v>
      </c>
      <c r="H189" s="1">
        <v>11000</v>
      </c>
      <c r="I189" s="1">
        <v>0</v>
      </c>
      <c r="J189" s="1">
        <v>0</v>
      </c>
      <c r="K189" s="1" t="str">
        <f>_xlfn.XLOOKUP(C189,'April 2025'!C:C,'April 2025'!K:K)</f>
        <v>L-10</v>
      </c>
    </row>
    <row r="190" spans="1:11" x14ac:dyDescent="0.3">
      <c r="A190" s="1">
        <v>189</v>
      </c>
      <c r="B190" s="1">
        <v>10100</v>
      </c>
      <c r="C190" s="1" t="s">
        <v>213</v>
      </c>
      <c r="D190" s="1" t="s">
        <v>565</v>
      </c>
      <c r="E190" s="1" t="s">
        <v>214</v>
      </c>
      <c r="F190" s="5" t="str">
        <f>_xlfn.XLOOKUP(C190,'January 2025'!C:C,'January 2025'!F:F)</f>
        <v>Manufacturing</v>
      </c>
      <c r="G190" s="1">
        <v>11500</v>
      </c>
      <c r="H190" s="1">
        <v>11500</v>
      </c>
      <c r="I190" s="1">
        <v>0</v>
      </c>
      <c r="J190" s="1">
        <v>0</v>
      </c>
      <c r="K190" s="1" t="s">
        <v>556</v>
      </c>
    </row>
    <row r="191" spans="1:11" x14ac:dyDescent="0.3">
      <c r="A191" s="1">
        <v>190</v>
      </c>
      <c r="B191" s="1">
        <v>10101</v>
      </c>
      <c r="C191" s="1" t="s">
        <v>215</v>
      </c>
      <c r="D191" s="1" t="s">
        <v>565</v>
      </c>
      <c r="E191" s="1" t="s">
        <v>35</v>
      </c>
      <c r="F191" s="5" t="str">
        <f>_xlfn.XLOOKUP(B191,'April 2025'!B:B,'April 2025'!F:F)</f>
        <v>Manufacturing</v>
      </c>
      <c r="G191" s="1">
        <v>11500</v>
      </c>
      <c r="H191" s="1">
        <v>11500</v>
      </c>
      <c r="I191" s="1">
        <v>0</v>
      </c>
      <c r="J191" s="1">
        <v>0</v>
      </c>
      <c r="K191" s="1" t="str">
        <f>_xlfn.XLOOKUP(C191,'April 2025'!C:C,'April 2025'!K:K)</f>
        <v>L-9</v>
      </c>
    </row>
    <row r="192" spans="1:11" x14ac:dyDescent="0.3">
      <c r="A192" s="1">
        <v>191</v>
      </c>
      <c r="B192" s="1">
        <v>10102</v>
      </c>
      <c r="C192" s="1" t="s">
        <v>133</v>
      </c>
      <c r="D192" s="1" t="s">
        <v>565</v>
      </c>
      <c r="E192" s="1" t="s">
        <v>35</v>
      </c>
      <c r="F192" s="5" t="str">
        <f>_xlfn.XLOOKUP(C192,'January 2025'!C:C,'January 2025'!F:F)</f>
        <v>Manufacturing</v>
      </c>
      <c r="G192" s="1">
        <v>12500</v>
      </c>
      <c r="H192" s="1">
        <v>12500</v>
      </c>
      <c r="I192" s="1">
        <v>0</v>
      </c>
      <c r="J192" s="1">
        <v>0</v>
      </c>
      <c r="K192" s="1" t="s">
        <v>556</v>
      </c>
    </row>
    <row r="193" spans="1:11" x14ac:dyDescent="0.3">
      <c r="A193" s="1">
        <v>192</v>
      </c>
      <c r="B193" s="1">
        <v>53</v>
      </c>
      <c r="C193" s="1" t="s">
        <v>216</v>
      </c>
      <c r="D193" s="1" t="s">
        <v>564</v>
      </c>
      <c r="E193" s="1" t="s">
        <v>67</v>
      </c>
      <c r="F193" s="5" t="str">
        <f>_xlfn.XLOOKUP(C193,'January 2025'!C:C,'January 2025'!F:F)</f>
        <v>Manufacturing</v>
      </c>
      <c r="G193" s="1">
        <v>30000</v>
      </c>
      <c r="H193" s="1">
        <v>30000</v>
      </c>
      <c r="I193" s="1">
        <v>0</v>
      </c>
      <c r="J193" s="1">
        <v>0</v>
      </c>
      <c r="K193" s="1" t="s">
        <v>556</v>
      </c>
    </row>
    <row r="194" spans="1:11" x14ac:dyDescent="0.3">
      <c r="A194" s="1">
        <v>193</v>
      </c>
      <c r="B194" s="1">
        <v>54</v>
      </c>
      <c r="C194" s="1" t="s">
        <v>217</v>
      </c>
      <c r="D194" s="1" t="s">
        <v>564</v>
      </c>
      <c r="E194" s="1" t="s">
        <v>67</v>
      </c>
      <c r="F194" s="5" t="str">
        <f>_xlfn.XLOOKUP(B194,'April 2025'!B:B,'April 2025'!F:F)</f>
        <v>Manufacturing</v>
      </c>
      <c r="G194" s="1">
        <v>30000</v>
      </c>
      <c r="H194" s="1">
        <v>30000</v>
      </c>
      <c r="I194" s="1">
        <v>0</v>
      </c>
      <c r="J194" s="1">
        <v>0</v>
      </c>
      <c r="K194" s="1" t="str">
        <f>_xlfn.XLOOKUP(C194,'April 2025'!C:C,'April 2025'!K:K)</f>
        <v>L-9</v>
      </c>
    </row>
    <row r="195" spans="1:11" x14ac:dyDescent="0.3">
      <c r="A195" s="1">
        <v>194</v>
      </c>
      <c r="B195" s="1">
        <v>55</v>
      </c>
      <c r="C195" s="1" t="s">
        <v>218</v>
      </c>
      <c r="D195" s="1" t="s">
        <v>564</v>
      </c>
      <c r="E195" s="1" t="s">
        <v>67</v>
      </c>
      <c r="F195" s="5" t="str">
        <f>_xlfn.XLOOKUP(B195,'April 2025'!B:B,'April 2025'!F:F)</f>
        <v>Manufacturing</v>
      </c>
      <c r="G195" s="1">
        <v>30000</v>
      </c>
      <c r="H195" s="1">
        <v>30000</v>
      </c>
      <c r="I195" s="1">
        <v>0</v>
      </c>
      <c r="J195" s="1">
        <v>0</v>
      </c>
      <c r="K195" s="1" t="str">
        <f>_xlfn.XLOOKUP(C195,'April 2025'!C:C,'April 2025'!K:K)</f>
        <v>L-9</v>
      </c>
    </row>
    <row r="196" spans="1:11" x14ac:dyDescent="0.3">
      <c r="A196" s="1">
        <v>195</v>
      </c>
      <c r="B196" s="1">
        <v>56</v>
      </c>
      <c r="C196" s="1" t="s">
        <v>219</v>
      </c>
      <c r="D196" s="1" t="s">
        <v>564</v>
      </c>
      <c r="E196" s="1" t="s">
        <v>67</v>
      </c>
      <c r="F196" s="5" t="str">
        <f>_xlfn.XLOOKUP(B196,'April 2025'!B:B,'April 2025'!F:F)</f>
        <v>Domestic</v>
      </c>
      <c r="G196" s="1">
        <v>30000</v>
      </c>
      <c r="H196" s="1">
        <v>30000</v>
      </c>
      <c r="I196" s="1">
        <v>0</v>
      </c>
      <c r="J196" s="1">
        <v>0</v>
      </c>
      <c r="K196" s="1" t="str">
        <f>_xlfn.XLOOKUP(C196,'April 2025'!C:C,'April 2025'!K:K)</f>
        <v>L-9</v>
      </c>
    </row>
    <row r="197" spans="1:11" x14ac:dyDescent="0.3">
      <c r="A197" s="1">
        <v>196</v>
      </c>
      <c r="B197" s="1">
        <v>57</v>
      </c>
      <c r="C197" s="1" t="s">
        <v>220</v>
      </c>
      <c r="D197" s="1" t="s">
        <v>564</v>
      </c>
      <c r="E197" s="1" t="s">
        <v>42</v>
      </c>
      <c r="F197" s="5" t="str">
        <f>_xlfn.XLOOKUP(B197,'April 2025'!B:B,'April 2025'!F:F)</f>
        <v>Manufacturing</v>
      </c>
      <c r="G197" s="1">
        <v>48600</v>
      </c>
      <c r="H197" s="1">
        <v>46800</v>
      </c>
      <c r="I197" s="1">
        <v>1950</v>
      </c>
      <c r="J197" s="1">
        <v>0</v>
      </c>
      <c r="K197" s="1" t="str">
        <f>_xlfn.XLOOKUP(C197,'April 2025'!C:C,'April 2025'!K:K)</f>
        <v>L-6</v>
      </c>
    </row>
    <row r="198" spans="1:11" x14ac:dyDescent="0.3">
      <c r="A198" s="1">
        <v>197</v>
      </c>
      <c r="B198" s="1">
        <v>58</v>
      </c>
      <c r="C198" s="1" t="s">
        <v>221</v>
      </c>
      <c r="D198" s="1" t="s">
        <v>564</v>
      </c>
      <c r="E198" s="1" t="s">
        <v>10</v>
      </c>
      <c r="F198" s="5" t="str">
        <f ca="1">_xlfn.XLOOKUP(C198,'January 2025'!C:C,'January 2025'!F:F)</f>
        <v>Manufacturing</v>
      </c>
      <c r="G198" s="1">
        <v>17000</v>
      </c>
      <c r="H198" s="1">
        <v>15852</v>
      </c>
      <c r="I198" s="1">
        <v>1105</v>
      </c>
      <c r="J198" s="1">
        <v>553</v>
      </c>
      <c r="K198" s="1" t="s">
        <v>555</v>
      </c>
    </row>
    <row r="199" spans="1:11" x14ac:dyDescent="0.3">
      <c r="A199" s="1">
        <v>198</v>
      </c>
      <c r="B199" s="1">
        <v>10103</v>
      </c>
      <c r="C199" s="1" t="s">
        <v>222</v>
      </c>
      <c r="D199" s="1" t="s">
        <v>565</v>
      </c>
      <c r="E199" s="1" t="s">
        <v>35</v>
      </c>
      <c r="F199" s="5" t="str">
        <f>_xlfn.XLOOKUP(B199,'April 2025'!B:B,'April 2025'!F:F)</f>
        <v>Manufacturing</v>
      </c>
      <c r="G199" s="1">
        <v>12500</v>
      </c>
      <c r="H199" s="1">
        <v>12500</v>
      </c>
      <c r="I199" s="1">
        <v>0</v>
      </c>
      <c r="J199" s="1">
        <v>0</v>
      </c>
      <c r="K199" s="1" t="str">
        <f>_xlfn.XLOOKUP(C199,'April 2025'!C:C,'April 2025'!K:K)</f>
        <v>L-9</v>
      </c>
    </row>
    <row r="200" spans="1:11" x14ac:dyDescent="0.3">
      <c r="A200" s="1">
        <v>199</v>
      </c>
      <c r="B200" s="1">
        <v>10104</v>
      </c>
      <c r="C200" s="1" t="s">
        <v>223</v>
      </c>
      <c r="D200" s="1" t="s">
        <v>565</v>
      </c>
      <c r="E200" s="1" t="s">
        <v>35</v>
      </c>
      <c r="F200" s="5" t="str">
        <f>_xlfn.XLOOKUP(B200,'April 2025'!B:B,'April 2025'!F:F)</f>
        <v>Manufacturing</v>
      </c>
      <c r="G200" s="1">
        <v>13500</v>
      </c>
      <c r="H200" s="1">
        <v>13500</v>
      </c>
      <c r="I200" s="1">
        <v>0</v>
      </c>
      <c r="J200" s="1">
        <v>0</v>
      </c>
      <c r="K200" s="1" t="str">
        <f>_xlfn.XLOOKUP(C200,'April 2025'!C:C,'April 2025'!K:K)</f>
        <v>L-9</v>
      </c>
    </row>
    <row r="201" spans="1:11" x14ac:dyDescent="0.3">
      <c r="A201" s="1">
        <v>200</v>
      </c>
      <c r="B201" s="1">
        <v>10105</v>
      </c>
      <c r="C201" s="1" t="s">
        <v>133</v>
      </c>
      <c r="D201" s="1" t="s">
        <v>565</v>
      </c>
      <c r="E201" s="1" t="s">
        <v>61</v>
      </c>
      <c r="F201" s="5" t="str">
        <f>_xlfn.XLOOKUP(C201,'January 2025'!C:C,'January 2025'!F:F)</f>
        <v>Manufacturing</v>
      </c>
      <c r="G201" s="1">
        <v>12000</v>
      </c>
      <c r="H201" s="1">
        <v>12000</v>
      </c>
      <c r="I201" s="1">
        <v>0</v>
      </c>
      <c r="J201" s="1">
        <v>0</v>
      </c>
      <c r="K201" s="1" t="s">
        <v>556</v>
      </c>
    </row>
    <row r="202" spans="1:11" x14ac:dyDescent="0.3">
      <c r="A202" s="1">
        <v>201</v>
      </c>
      <c r="B202" s="1">
        <v>10106</v>
      </c>
      <c r="C202" s="1" t="s">
        <v>224</v>
      </c>
      <c r="D202" s="1" t="s">
        <v>565</v>
      </c>
      <c r="E202" s="1" t="s">
        <v>61</v>
      </c>
      <c r="F202" s="5" t="str">
        <f>_xlfn.XLOOKUP(C202,'January 2025'!C:C,'January 2025'!F:F)</f>
        <v>Manufacturing</v>
      </c>
      <c r="G202" s="1">
        <v>11500</v>
      </c>
      <c r="H202" s="1">
        <v>11500</v>
      </c>
      <c r="I202" s="1">
        <v>0</v>
      </c>
      <c r="J202" s="1">
        <v>0</v>
      </c>
      <c r="K202" s="1" t="s">
        <v>556</v>
      </c>
    </row>
    <row r="203" spans="1:11" x14ac:dyDescent="0.3">
      <c r="A203" s="1">
        <v>202</v>
      </c>
      <c r="B203" s="1">
        <v>10107</v>
      </c>
      <c r="C203" s="1" t="s">
        <v>225</v>
      </c>
      <c r="D203" s="1" t="s">
        <v>565</v>
      </c>
      <c r="E203" s="1" t="s">
        <v>12</v>
      </c>
      <c r="F203" s="5" t="str">
        <f>_xlfn.XLOOKUP(B203,'April 2025'!B:B,'April 2025'!F:F)</f>
        <v>Manufacturing</v>
      </c>
      <c r="G203" s="1">
        <v>13000</v>
      </c>
      <c r="H203" s="1">
        <v>13000</v>
      </c>
      <c r="I203" s="1">
        <v>0</v>
      </c>
      <c r="J203" s="1">
        <v>0</v>
      </c>
      <c r="K203" s="1" t="str">
        <f>_xlfn.XLOOKUP(C203,'April 2025'!C:C,'April 2025'!K:K)</f>
        <v>L-9</v>
      </c>
    </row>
    <row r="204" spans="1:11" x14ac:dyDescent="0.3">
      <c r="A204" s="1">
        <v>203</v>
      </c>
      <c r="B204" s="1">
        <v>10108</v>
      </c>
      <c r="C204" s="1" t="s">
        <v>226</v>
      </c>
      <c r="D204" s="1" t="s">
        <v>565</v>
      </c>
      <c r="E204" s="1" t="s">
        <v>35</v>
      </c>
      <c r="F204" s="5" t="str">
        <f>_xlfn.XLOOKUP(C204,'January 2025'!C:C,'January 2025'!F:F)</f>
        <v>Manufacturing</v>
      </c>
      <c r="G204" s="1">
        <v>12000</v>
      </c>
      <c r="H204" s="1">
        <v>12000</v>
      </c>
      <c r="I204" s="1">
        <v>0</v>
      </c>
      <c r="J204" s="1">
        <v>0</v>
      </c>
      <c r="K204" s="1" t="s">
        <v>556</v>
      </c>
    </row>
    <row r="205" spans="1:11" x14ac:dyDescent="0.3">
      <c r="A205" s="1">
        <v>204</v>
      </c>
      <c r="B205" s="1">
        <v>10109</v>
      </c>
      <c r="C205" s="1" t="s">
        <v>227</v>
      </c>
      <c r="D205" s="1" t="s">
        <v>565</v>
      </c>
      <c r="E205" s="1" t="s">
        <v>35</v>
      </c>
      <c r="F205" s="5" t="str">
        <f>_xlfn.XLOOKUP(B205,'April 2025'!B:B,'April 2025'!F:F)</f>
        <v>Manufacturing</v>
      </c>
      <c r="G205" s="1">
        <v>11500</v>
      </c>
      <c r="H205" s="1">
        <v>11500</v>
      </c>
      <c r="I205" s="1">
        <v>0</v>
      </c>
      <c r="J205" s="1">
        <v>0</v>
      </c>
      <c r="K205" s="1" t="str">
        <f>_xlfn.XLOOKUP(C205,'April 2025'!C:C,'April 2025'!K:K)</f>
        <v>L-9</v>
      </c>
    </row>
    <row r="206" spans="1:11" x14ac:dyDescent="0.3">
      <c r="A206" s="1">
        <v>205</v>
      </c>
      <c r="B206" s="1">
        <v>10110</v>
      </c>
      <c r="C206" s="1" t="s">
        <v>228</v>
      </c>
      <c r="D206" s="1" t="s">
        <v>565</v>
      </c>
      <c r="E206" s="1" t="s">
        <v>61</v>
      </c>
      <c r="F206" s="5" t="str">
        <f>_xlfn.XLOOKUP(B206,'April 2025'!B:B,'April 2025'!F:F)</f>
        <v>Manufacturing</v>
      </c>
      <c r="G206" s="1">
        <v>11500</v>
      </c>
      <c r="H206" s="1">
        <v>11500</v>
      </c>
      <c r="I206" s="1">
        <v>0</v>
      </c>
      <c r="J206" s="1">
        <v>0</v>
      </c>
      <c r="K206" s="1" t="str">
        <f>_xlfn.XLOOKUP(C206,'April 2025'!C:C,'April 2025'!K:K)</f>
        <v>L-9</v>
      </c>
    </row>
    <row r="207" spans="1:11" x14ac:dyDescent="0.3">
      <c r="A207" s="1">
        <v>206</v>
      </c>
      <c r="B207" s="1">
        <v>10111</v>
      </c>
      <c r="C207" s="1" t="s">
        <v>229</v>
      </c>
      <c r="D207" s="1" t="s">
        <v>565</v>
      </c>
      <c r="E207" s="1" t="s">
        <v>61</v>
      </c>
      <c r="F207" s="5" t="str">
        <f>_xlfn.XLOOKUP(B207,'April 2025'!B:B,'April 2025'!F:F)</f>
        <v>Manufacturing</v>
      </c>
      <c r="G207" s="1">
        <v>12500</v>
      </c>
      <c r="H207" s="1">
        <v>12500</v>
      </c>
      <c r="I207" s="1">
        <v>0</v>
      </c>
      <c r="J207" s="1">
        <v>0</v>
      </c>
      <c r="K207" s="1" t="str">
        <f>_xlfn.XLOOKUP(C207,'April 2025'!C:C,'April 2025'!K:K)</f>
        <v>L-9</v>
      </c>
    </row>
    <row r="208" spans="1:11" x14ac:dyDescent="0.3">
      <c r="A208" s="1">
        <v>207</v>
      </c>
      <c r="B208" s="1">
        <v>10112</v>
      </c>
      <c r="C208" s="1" t="s">
        <v>230</v>
      </c>
      <c r="D208" s="1" t="s">
        <v>565</v>
      </c>
      <c r="E208" s="1" t="s">
        <v>35</v>
      </c>
      <c r="F208" s="5" t="str">
        <f>_xlfn.XLOOKUP(B208,'April 2025'!B:B,'April 2025'!F:F)</f>
        <v>Manufacturing</v>
      </c>
      <c r="G208" s="1">
        <v>11000</v>
      </c>
      <c r="H208" s="1">
        <v>11000</v>
      </c>
      <c r="I208" s="1">
        <v>0</v>
      </c>
      <c r="J208" s="1">
        <v>0</v>
      </c>
      <c r="K208" s="1" t="str">
        <f>_xlfn.XLOOKUP(C208,'April 2025'!C:C,'April 2025'!K:K)</f>
        <v>L-9</v>
      </c>
    </row>
    <row r="209" spans="1:11" x14ac:dyDescent="0.3">
      <c r="A209" s="1">
        <v>208</v>
      </c>
      <c r="B209" s="1">
        <v>10113</v>
      </c>
      <c r="C209" s="1" t="s">
        <v>231</v>
      </c>
      <c r="D209" s="1" t="s">
        <v>565</v>
      </c>
      <c r="E209" s="1" t="s">
        <v>53</v>
      </c>
      <c r="F209" s="5" t="str">
        <f>_xlfn.XLOOKUP(C209,'[1]March 2025'!$C:$C,'[1]March 2025'!$I:$I,"")</f>
        <v>Domestic</v>
      </c>
      <c r="G209" s="1">
        <v>12000</v>
      </c>
      <c r="H209" s="1">
        <v>12000</v>
      </c>
      <c r="I209" s="1">
        <v>0</v>
      </c>
      <c r="J209" s="1">
        <v>0</v>
      </c>
      <c r="K209" s="1" t="s">
        <v>557</v>
      </c>
    </row>
    <row r="210" spans="1:11" x14ac:dyDescent="0.3">
      <c r="A210" s="1">
        <v>209</v>
      </c>
      <c r="B210" s="1">
        <v>10114</v>
      </c>
      <c r="C210" s="1" t="s">
        <v>232</v>
      </c>
      <c r="D210" s="1" t="s">
        <v>565</v>
      </c>
      <c r="E210" s="1" t="s">
        <v>10</v>
      </c>
      <c r="F210" s="5" t="str">
        <f>_xlfn.XLOOKUP(B210,'April 2025'!B:B,'April 2025'!F:F)</f>
        <v>Manufacturing</v>
      </c>
      <c r="G210" s="1">
        <v>13500</v>
      </c>
      <c r="H210" s="1">
        <v>13500</v>
      </c>
      <c r="I210" s="1">
        <v>0</v>
      </c>
      <c r="J210" s="1">
        <v>0</v>
      </c>
      <c r="K210" s="1" t="str">
        <f>_xlfn.XLOOKUP(C210,'April 2025'!C:C,'April 2025'!K:K)</f>
        <v>L-8</v>
      </c>
    </row>
    <row r="211" spans="1:11" x14ac:dyDescent="0.3">
      <c r="A211" s="1">
        <v>210</v>
      </c>
      <c r="B211" s="1">
        <v>59</v>
      </c>
      <c r="C211" s="1" t="s">
        <v>233</v>
      </c>
      <c r="D211" s="1" t="s">
        <v>564</v>
      </c>
      <c r="E211" s="1" t="s">
        <v>42</v>
      </c>
      <c r="F211" s="5" t="str">
        <f>_xlfn.XLOOKUP(B211,'April 2025'!B:B,'April 2025'!F:F)</f>
        <v>Manufacturing</v>
      </c>
      <c r="G211" s="1">
        <v>50000</v>
      </c>
      <c r="H211" s="1">
        <v>50000</v>
      </c>
      <c r="I211" s="1">
        <v>0</v>
      </c>
      <c r="J211" s="1">
        <v>0</v>
      </c>
      <c r="K211" s="1" t="str">
        <f>_xlfn.XLOOKUP(C211,'April 2025'!C:C,'April 2025'!K:K)</f>
        <v>L-5</v>
      </c>
    </row>
    <row r="212" spans="1:11" x14ac:dyDescent="0.3">
      <c r="A212" s="1">
        <v>211</v>
      </c>
      <c r="B212" s="1">
        <v>60</v>
      </c>
      <c r="C212" s="1" t="s">
        <v>234</v>
      </c>
      <c r="D212" s="1" t="s">
        <v>564</v>
      </c>
      <c r="E212" s="1" t="s">
        <v>235</v>
      </c>
      <c r="F212" s="5" t="str">
        <f>_xlfn.XLOOKUP(C212,'[1]March 2025'!$C:$C,'[1]March 2025'!$I:$I,"")</f>
        <v>Manufacturing</v>
      </c>
      <c r="G212" s="1">
        <v>25000</v>
      </c>
      <c r="H212" s="1">
        <v>25000</v>
      </c>
      <c r="I212" s="1">
        <v>0</v>
      </c>
      <c r="J212" s="1">
        <v>0</v>
      </c>
      <c r="K212" s="1" t="s">
        <v>556</v>
      </c>
    </row>
    <row r="213" spans="1:11" x14ac:dyDescent="0.3">
      <c r="A213" s="1">
        <v>212</v>
      </c>
      <c r="B213" s="1">
        <v>10115</v>
      </c>
      <c r="C213" s="1" t="s">
        <v>236</v>
      </c>
      <c r="D213" s="1" t="s">
        <v>565</v>
      </c>
      <c r="E213" s="1" t="s">
        <v>35</v>
      </c>
      <c r="F213" s="5" t="str">
        <f>_xlfn.XLOOKUP(B213,'April 2025'!B:B,'April 2025'!F:F)</f>
        <v>Manufacturing</v>
      </c>
      <c r="G213" s="1">
        <v>12500</v>
      </c>
      <c r="H213" s="1">
        <v>12500</v>
      </c>
      <c r="I213" s="1">
        <v>0</v>
      </c>
      <c r="J213" s="1">
        <v>0</v>
      </c>
      <c r="K213" s="1" t="str">
        <f>_xlfn.XLOOKUP(C213,'April 2025'!C:C,'April 2025'!K:K)</f>
        <v>L-9</v>
      </c>
    </row>
    <row r="214" spans="1:11" x14ac:dyDescent="0.3">
      <c r="A214" s="1">
        <v>213</v>
      </c>
      <c r="B214" s="1">
        <v>10116</v>
      </c>
      <c r="C214" s="1" t="s">
        <v>237</v>
      </c>
      <c r="D214" s="1" t="s">
        <v>565</v>
      </c>
      <c r="E214" s="1" t="s">
        <v>53</v>
      </c>
      <c r="F214" s="5" t="str">
        <f>_xlfn.XLOOKUP(C214,'January 2025'!C:C,'January 2025'!F:F)</f>
        <v>Domestic</v>
      </c>
      <c r="G214" s="1">
        <v>11500</v>
      </c>
      <c r="H214" s="1">
        <v>11500</v>
      </c>
      <c r="I214" s="1">
        <v>0</v>
      </c>
      <c r="J214" s="1">
        <v>0</v>
      </c>
      <c r="K214" s="1" t="s">
        <v>557</v>
      </c>
    </row>
    <row r="215" spans="1:11" x14ac:dyDescent="0.3">
      <c r="A215" s="1">
        <v>214</v>
      </c>
      <c r="B215" s="1">
        <v>10117</v>
      </c>
      <c r="C215" s="1" t="s">
        <v>238</v>
      </c>
      <c r="D215" s="1" t="s">
        <v>565</v>
      </c>
      <c r="E215" s="1" t="s">
        <v>35</v>
      </c>
      <c r="F215" s="5" t="str">
        <f>_xlfn.XLOOKUP(B215,'April 2025'!B:B,'April 2025'!F:F)</f>
        <v>Manufacturing</v>
      </c>
      <c r="G215" s="1">
        <v>11500</v>
      </c>
      <c r="H215" s="1">
        <v>11500</v>
      </c>
      <c r="I215" s="1">
        <v>0</v>
      </c>
      <c r="J215" s="1">
        <v>0</v>
      </c>
      <c r="K215" s="1" t="str">
        <f>_xlfn.XLOOKUP(C215,'April 2025'!C:C,'April 2025'!K:K)</f>
        <v>L-9</v>
      </c>
    </row>
    <row r="216" spans="1:11" x14ac:dyDescent="0.3">
      <c r="A216" s="1">
        <v>215</v>
      </c>
      <c r="B216" s="1">
        <v>10118</v>
      </c>
      <c r="C216" s="1" t="s">
        <v>80</v>
      </c>
      <c r="D216" s="1" t="s">
        <v>565</v>
      </c>
      <c r="E216" s="1" t="s">
        <v>53</v>
      </c>
      <c r="F216" s="5" t="str">
        <f>_xlfn.XLOOKUP(C216,'[1]March 2025'!$C:$C,'[1]March 2025'!$I:$I,"")</f>
        <v>Domestic</v>
      </c>
      <c r="G216" s="1">
        <v>11000</v>
      </c>
      <c r="H216" s="1">
        <v>11000</v>
      </c>
      <c r="I216" s="1">
        <v>0</v>
      </c>
      <c r="J216" s="1">
        <v>0</v>
      </c>
      <c r="K216" s="1" t="str">
        <f>_xlfn.XLOOKUP(C216,'April 2025'!C:C,'April 2025'!K:K)</f>
        <v>L-10</v>
      </c>
    </row>
    <row r="217" spans="1:11" x14ac:dyDescent="0.3">
      <c r="A217" s="1">
        <v>216</v>
      </c>
      <c r="B217" s="1">
        <v>10119</v>
      </c>
      <c r="C217" s="1" t="s">
        <v>239</v>
      </c>
      <c r="D217" s="1" t="s">
        <v>565</v>
      </c>
      <c r="E217" s="1" t="s">
        <v>53</v>
      </c>
      <c r="F217" s="5" t="str">
        <f ca="1">_xlfn.XLOOKUP(C217,'January 2025'!C:C,'January 2025'!F:F)</f>
        <v>Manufacturing</v>
      </c>
      <c r="G217" s="1">
        <v>11000</v>
      </c>
      <c r="H217" s="1">
        <v>11000</v>
      </c>
      <c r="I217" s="1">
        <v>0</v>
      </c>
      <c r="J217" s="1">
        <v>0</v>
      </c>
      <c r="K217" s="1" t="s">
        <v>557</v>
      </c>
    </row>
    <row r="218" spans="1:11" x14ac:dyDescent="0.3">
      <c r="A218" s="1">
        <v>217</v>
      </c>
      <c r="B218" s="1">
        <v>10120</v>
      </c>
      <c r="C218" s="1" t="s">
        <v>240</v>
      </c>
      <c r="D218" s="1" t="s">
        <v>565</v>
      </c>
      <c r="E218" s="1" t="s">
        <v>61</v>
      </c>
      <c r="F218" s="5" t="str">
        <f ca="1">_xlfn.XLOOKUP(C218,'January 2025'!C:C,'January 2025'!F:F)</f>
        <v>Manufacturing</v>
      </c>
      <c r="G218" s="1">
        <v>13000</v>
      </c>
      <c r="H218" s="1">
        <v>13000</v>
      </c>
      <c r="I218" s="1">
        <v>0</v>
      </c>
      <c r="J218" s="1">
        <v>0</v>
      </c>
      <c r="K218" s="1" t="s">
        <v>556</v>
      </c>
    </row>
    <row r="219" spans="1:11" x14ac:dyDescent="0.3">
      <c r="A219" s="1">
        <v>218</v>
      </c>
      <c r="B219" s="1">
        <v>10121</v>
      </c>
      <c r="C219" s="1" t="s">
        <v>241</v>
      </c>
      <c r="D219" s="1" t="s">
        <v>565</v>
      </c>
      <c r="E219" s="1" t="s">
        <v>53</v>
      </c>
      <c r="F219" s="5" t="str">
        <f>_xlfn.XLOOKUP(B219,'April 2025'!B:B,'April 2025'!F:F)</f>
        <v>Manufacturing</v>
      </c>
      <c r="G219" s="1">
        <v>11500</v>
      </c>
      <c r="H219" s="1">
        <v>11500</v>
      </c>
      <c r="I219" s="1">
        <v>0</v>
      </c>
      <c r="J219" s="1">
        <v>0</v>
      </c>
      <c r="K219" s="1" t="str">
        <f>_xlfn.XLOOKUP(C219,'April 2025'!C:C,'April 2025'!K:K)</f>
        <v>L-10</v>
      </c>
    </row>
    <row r="220" spans="1:11" x14ac:dyDescent="0.3">
      <c r="A220" s="1">
        <v>219</v>
      </c>
      <c r="B220" s="1">
        <v>10122</v>
      </c>
      <c r="C220" s="1" t="s">
        <v>242</v>
      </c>
      <c r="D220" s="1" t="s">
        <v>565</v>
      </c>
      <c r="E220" s="1" t="s">
        <v>61</v>
      </c>
      <c r="F220" s="5" t="str">
        <f ca="1">_xlfn.XLOOKUP(C220,'January 2025'!C:C,'January 2025'!F:F)</f>
        <v>Manufacturing</v>
      </c>
      <c r="G220" s="1">
        <v>13000</v>
      </c>
      <c r="H220" s="1">
        <v>13000</v>
      </c>
      <c r="I220" s="1">
        <v>0</v>
      </c>
      <c r="J220" s="1">
        <v>0</v>
      </c>
      <c r="K220" s="1" t="s">
        <v>556</v>
      </c>
    </row>
    <row r="221" spans="1:11" x14ac:dyDescent="0.3">
      <c r="A221" s="1">
        <v>220</v>
      </c>
      <c r="B221" s="1">
        <v>10123</v>
      </c>
      <c r="C221" s="1" t="s">
        <v>243</v>
      </c>
      <c r="D221" s="1" t="s">
        <v>565</v>
      </c>
      <c r="E221" s="1" t="s">
        <v>53</v>
      </c>
      <c r="F221" s="5" t="str">
        <f>_xlfn.XLOOKUP(B221,'April 2025'!B:B,'April 2025'!F:F)</f>
        <v>Manufacturing</v>
      </c>
      <c r="G221" s="1">
        <v>12000</v>
      </c>
      <c r="H221" s="1">
        <v>12000</v>
      </c>
      <c r="I221" s="1">
        <v>0</v>
      </c>
      <c r="J221" s="1">
        <v>0</v>
      </c>
      <c r="K221" s="1" t="str">
        <f>_xlfn.XLOOKUP(C221,'April 2025'!C:C,'April 2025'!K:K)</f>
        <v>L-9</v>
      </c>
    </row>
    <row r="222" spans="1:11" x14ac:dyDescent="0.3">
      <c r="A222" s="1">
        <v>221</v>
      </c>
      <c r="B222" s="1">
        <v>10124</v>
      </c>
      <c r="C222" s="1" t="s">
        <v>244</v>
      </c>
      <c r="D222" s="1" t="s">
        <v>565</v>
      </c>
      <c r="E222" s="1" t="s">
        <v>35</v>
      </c>
      <c r="F222" s="5" t="str">
        <f>_xlfn.XLOOKUP(B222,'April 2025'!B:B,'April 2025'!F:F)</f>
        <v>Manufacturing</v>
      </c>
      <c r="G222" s="1">
        <v>14000</v>
      </c>
      <c r="H222" s="1">
        <v>14000</v>
      </c>
      <c r="I222" s="1">
        <v>0</v>
      </c>
      <c r="J222" s="1">
        <v>0</v>
      </c>
      <c r="K222" s="1" t="str">
        <f>_xlfn.XLOOKUP(C222,'April 2025'!C:C,'April 2025'!K:K)</f>
        <v>L-9</v>
      </c>
    </row>
    <row r="223" spans="1:11" x14ac:dyDescent="0.3">
      <c r="A223" s="1">
        <v>222</v>
      </c>
      <c r="B223" s="1">
        <v>10125</v>
      </c>
      <c r="C223" s="1" t="s">
        <v>245</v>
      </c>
      <c r="D223" s="1" t="s">
        <v>565</v>
      </c>
      <c r="E223" s="1" t="s">
        <v>35</v>
      </c>
      <c r="F223" s="5" t="str">
        <f>_xlfn.XLOOKUP(B223,'April 2025'!B:B,'April 2025'!F:F)</f>
        <v>Manufacturing</v>
      </c>
      <c r="G223" s="1">
        <v>14000</v>
      </c>
      <c r="H223" s="1">
        <v>14000</v>
      </c>
      <c r="I223" s="1">
        <v>0</v>
      </c>
      <c r="J223" s="1">
        <v>0</v>
      </c>
      <c r="K223" s="1" t="str">
        <f>_xlfn.XLOOKUP(C223,'April 2025'!C:C,'April 2025'!K:K)</f>
        <v>L-10</v>
      </c>
    </row>
    <row r="224" spans="1:11" x14ac:dyDescent="0.3">
      <c r="A224" s="1">
        <v>223</v>
      </c>
      <c r="B224" s="1">
        <v>10126</v>
      </c>
      <c r="C224" s="1" t="s">
        <v>246</v>
      </c>
      <c r="D224" s="1" t="s">
        <v>565</v>
      </c>
      <c r="E224" s="1" t="s">
        <v>35</v>
      </c>
      <c r="F224" s="5" t="str">
        <f ca="1">_xlfn.XLOOKUP(C224,'January 2025'!C:C,'January 2025'!F:F)</f>
        <v>D2C</v>
      </c>
      <c r="G224" s="1">
        <v>14000</v>
      </c>
      <c r="H224" s="1">
        <v>14000</v>
      </c>
      <c r="I224" s="1">
        <v>0</v>
      </c>
      <c r="J224" s="1">
        <v>0</v>
      </c>
      <c r="K224" s="1" t="s">
        <v>556</v>
      </c>
    </row>
    <row r="225" spans="1:11" x14ac:dyDescent="0.3">
      <c r="A225" s="1">
        <v>224</v>
      </c>
      <c r="B225" s="1">
        <v>10127</v>
      </c>
      <c r="C225" s="1" t="s">
        <v>247</v>
      </c>
      <c r="D225" s="1" t="s">
        <v>565</v>
      </c>
      <c r="E225" s="1" t="s">
        <v>35</v>
      </c>
      <c r="F225" s="5" t="str">
        <f>_xlfn.XLOOKUP(B225,'April 2025'!B:B,'April 2025'!F:F)</f>
        <v>Manufacturing</v>
      </c>
      <c r="G225" s="1">
        <v>14000</v>
      </c>
      <c r="H225" s="1">
        <v>14000</v>
      </c>
      <c r="I225" s="1">
        <v>0</v>
      </c>
      <c r="J225" s="1">
        <v>0</v>
      </c>
      <c r="K225" s="1" t="str">
        <f>_xlfn.XLOOKUP(C225,'April 2025'!C:C,'April 2025'!K:K)</f>
        <v>L-9</v>
      </c>
    </row>
    <row r="226" spans="1:11" x14ac:dyDescent="0.3">
      <c r="A226" s="1">
        <v>225</v>
      </c>
      <c r="B226" s="1">
        <v>10128</v>
      </c>
      <c r="C226" s="1" t="s">
        <v>248</v>
      </c>
      <c r="D226" s="1" t="s">
        <v>565</v>
      </c>
      <c r="E226" s="1" t="s">
        <v>35</v>
      </c>
      <c r="F226" s="5" t="str">
        <f>_xlfn.XLOOKUP(B226,'April 2025'!B:B,'April 2025'!F:F)</f>
        <v>Manufacturing</v>
      </c>
      <c r="G226" s="1">
        <v>14000</v>
      </c>
      <c r="H226" s="1">
        <v>14000</v>
      </c>
      <c r="I226" s="1">
        <v>0</v>
      </c>
      <c r="J226" s="1">
        <v>0</v>
      </c>
      <c r="K226" s="1" t="str">
        <f>_xlfn.XLOOKUP(C226,'April 2025'!C:C,'April 2025'!K:K)</f>
        <v>L-9</v>
      </c>
    </row>
    <row r="227" spans="1:11" x14ac:dyDescent="0.3">
      <c r="A227" s="1">
        <v>226</v>
      </c>
      <c r="B227" s="1">
        <v>10129</v>
      </c>
      <c r="C227" s="1" t="s">
        <v>249</v>
      </c>
      <c r="D227" s="1" t="s">
        <v>565</v>
      </c>
      <c r="E227" s="1" t="s">
        <v>53</v>
      </c>
      <c r="F227" s="5" t="str">
        <f ca="1">_xlfn.XLOOKUP(C227,'January 2025'!C:C,'January 2025'!F:F)</f>
        <v>Manufacturing</v>
      </c>
      <c r="G227" s="1">
        <v>11000</v>
      </c>
      <c r="H227" s="1">
        <v>11000</v>
      </c>
      <c r="I227" s="1">
        <v>0</v>
      </c>
      <c r="J227" s="1">
        <v>0</v>
      </c>
      <c r="K227" s="1" t="s">
        <v>557</v>
      </c>
    </row>
    <row r="228" spans="1:11" x14ac:dyDescent="0.3">
      <c r="A228" s="1">
        <v>227</v>
      </c>
      <c r="B228" s="1">
        <v>10130</v>
      </c>
      <c r="C228" s="1" t="s">
        <v>250</v>
      </c>
      <c r="D228" s="1" t="s">
        <v>565</v>
      </c>
      <c r="E228" s="1" t="s">
        <v>35</v>
      </c>
      <c r="F228" s="5" t="str">
        <f>_xlfn.XLOOKUP(B228,'April 2025'!B:B,'April 2025'!F:F)</f>
        <v>Manufacturing</v>
      </c>
      <c r="G228" s="1">
        <v>13000</v>
      </c>
      <c r="H228" s="1">
        <v>13000</v>
      </c>
      <c r="I228" s="1">
        <v>0</v>
      </c>
      <c r="J228" s="1">
        <v>0</v>
      </c>
      <c r="K228" s="1" t="str">
        <f>_xlfn.XLOOKUP(C228,'April 2025'!C:C,'April 2025'!K:K)</f>
        <v>L-9</v>
      </c>
    </row>
    <row r="229" spans="1:11" x14ac:dyDescent="0.3">
      <c r="A229" s="1">
        <v>228</v>
      </c>
      <c r="B229" s="1">
        <v>61</v>
      </c>
      <c r="C229" s="1" t="s">
        <v>251</v>
      </c>
      <c r="D229" s="1" t="s">
        <v>564</v>
      </c>
      <c r="E229" s="1" t="s">
        <v>252</v>
      </c>
      <c r="F229" s="5" t="str">
        <f>_xlfn.XLOOKUP(C229,'[1]March 2025'!$C:$C,'[1]March 2025'!$I:$I,"")</f>
        <v>D2C</v>
      </c>
      <c r="G229" s="1">
        <v>28050</v>
      </c>
      <c r="H229" s="1">
        <v>26250</v>
      </c>
      <c r="I229" s="1">
        <v>1950</v>
      </c>
      <c r="J229" s="1">
        <v>0</v>
      </c>
      <c r="K229" s="1" t="s">
        <v>553</v>
      </c>
    </row>
    <row r="230" spans="1:11" x14ac:dyDescent="0.3">
      <c r="A230" s="1">
        <v>229</v>
      </c>
      <c r="B230" s="1">
        <v>10131</v>
      </c>
      <c r="C230" s="1" t="s">
        <v>253</v>
      </c>
      <c r="D230" s="1" t="s">
        <v>565</v>
      </c>
      <c r="E230" s="1" t="s">
        <v>53</v>
      </c>
      <c r="F230" s="5" t="str">
        <f>_xlfn.XLOOKUP(B230,'April 2025'!B:B,'April 2025'!F:F)</f>
        <v>Domestic</v>
      </c>
      <c r="G230" s="1">
        <v>11000</v>
      </c>
      <c r="H230" s="1">
        <v>11000</v>
      </c>
      <c r="I230" s="1">
        <v>0</v>
      </c>
      <c r="J230" s="1">
        <v>0</v>
      </c>
      <c r="K230" s="1" t="str">
        <f>_xlfn.XLOOKUP(C230,'April 2025'!C:C,'April 2025'!K:K)</f>
        <v>L-10</v>
      </c>
    </row>
    <row r="231" spans="1:11" x14ac:dyDescent="0.3">
      <c r="A231" s="1">
        <v>230</v>
      </c>
      <c r="B231" s="1">
        <v>10132</v>
      </c>
      <c r="C231" s="1" t="s">
        <v>254</v>
      </c>
      <c r="D231" s="1" t="s">
        <v>565</v>
      </c>
      <c r="E231" s="1" t="s">
        <v>35</v>
      </c>
      <c r="F231" s="5" t="str">
        <f>_xlfn.XLOOKUP(B231,'April 2025'!B:B,'April 2025'!F:F)</f>
        <v>Manufacturing</v>
      </c>
      <c r="G231" s="1">
        <v>13000</v>
      </c>
      <c r="H231" s="1">
        <v>13000</v>
      </c>
      <c r="I231" s="1">
        <v>0</v>
      </c>
      <c r="J231" s="1">
        <v>0</v>
      </c>
      <c r="K231" s="1" t="str">
        <f>_xlfn.XLOOKUP(C231,'April 2025'!C:C,'April 2025'!K:K)</f>
        <v>L-9</v>
      </c>
    </row>
    <row r="232" spans="1:11" x14ac:dyDescent="0.3">
      <c r="A232" s="1">
        <v>231</v>
      </c>
      <c r="B232" s="1">
        <v>10134</v>
      </c>
      <c r="C232" s="1" t="s">
        <v>255</v>
      </c>
      <c r="D232" s="1" t="s">
        <v>565</v>
      </c>
      <c r="E232" s="1" t="s">
        <v>35</v>
      </c>
      <c r="F232" s="5" t="str">
        <f ca="1">_xlfn.XLOOKUP(C232,'January 2025'!C:C,'January 2025'!F:F)</f>
        <v>Manufacturing</v>
      </c>
      <c r="G232" s="1">
        <v>14000</v>
      </c>
      <c r="H232" s="1">
        <v>14000</v>
      </c>
      <c r="I232" s="1">
        <v>0</v>
      </c>
      <c r="J232" s="1">
        <v>0</v>
      </c>
      <c r="K232" s="1" t="s">
        <v>556</v>
      </c>
    </row>
    <row r="233" spans="1:11" x14ac:dyDescent="0.3">
      <c r="A233" s="1">
        <v>232</v>
      </c>
      <c r="B233" s="1">
        <v>10135</v>
      </c>
      <c r="C233" s="1" t="s">
        <v>256</v>
      </c>
      <c r="D233" s="1" t="s">
        <v>565</v>
      </c>
      <c r="E233" s="1" t="s">
        <v>53</v>
      </c>
      <c r="F233" s="5" t="str">
        <f>_xlfn.XLOOKUP(B233,'April 2025'!B:B,'April 2025'!F:F)</f>
        <v>Manufacturing</v>
      </c>
      <c r="G233" s="1">
        <v>15000</v>
      </c>
      <c r="H233" s="1">
        <v>15000</v>
      </c>
      <c r="I233" s="1">
        <v>0</v>
      </c>
      <c r="J233" s="1">
        <v>0</v>
      </c>
      <c r="K233" s="1" t="str">
        <f>_xlfn.XLOOKUP(C233,'April 2025'!C:C,'April 2025'!K:K)</f>
        <v>L-10</v>
      </c>
    </row>
    <row r="234" spans="1:11" x14ac:dyDescent="0.3">
      <c r="A234" s="1">
        <v>233</v>
      </c>
      <c r="B234" s="1">
        <v>10136</v>
      </c>
      <c r="C234" s="1" t="s">
        <v>257</v>
      </c>
      <c r="D234" s="1" t="s">
        <v>565</v>
      </c>
      <c r="E234" s="1" t="s">
        <v>53</v>
      </c>
      <c r="F234" s="5" t="str">
        <f ca="1">_xlfn.XLOOKUP(C234,'January 2025'!C:C,'January 2025'!F:F)</f>
        <v>Manufacturing</v>
      </c>
      <c r="G234" s="1">
        <v>11000</v>
      </c>
      <c r="H234" s="1">
        <v>11000</v>
      </c>
      <c r="I234" s="1">
        <v>0</v>
      </c>
      <c r="J234" s="1">
        <v>0</v>
      </c>
      <c r="K234" s="1" t="s">
        <v>557</v>
      </c>
    </row>
    <row r="235" spans="1:11" x14ac:dyDescent="0.3">
      <c r="A235" s="1">
        <v>234</v>
      </c>
      <c r="B235" s="1">
        <v>10137</v>
      </c>
      <c r="C235" s="1" t="s">
        <v>258</v>
      </c>
      <c r="D235" s="1" t="s">
        <v>565</v>
      </c>
      <c r="E235" s="1" t="s">
        <v>53</v>
      </c>
      <c r="F235" s="5" t="str">
        <f>_xlfn.XLOOKUP(B235,'April 2025'!B:B,'April 2025'!F:F)</f>
        <v>Overseas</v>
      </c>
      <c r="G235" s="1">
        <v>11000</v>
      </c>
      <c r="H235" s="1">
        <v>11000</v>
      </c>
      <c r="I235" s="1">
        <v>0</v>
      </c>
      <c r="J235" s="1">
        <v>0</v>
      </c>
      <c r="K235" s="1" t="str">
        <f>_xlfn.XLOOKUP(C235,'April 2025'!C:C,'April 2025'!K:K)</f>
        <v>L-10</v>
      </c>
    </row>
    <row r="236" spans="1:11" x14ac:dyDescent="0.3">
      <c r="A236" s="1">
        <v>235</v>
      </c>
      <c r="B236" s="1">
        <v>10138</v>
      </c>
      <c r="C236" s="1" t="s">
        <v>259</v>
      </c>
      <c r="D236" s="1" t="s">
        <v>565</v>
      </c>
      <c r="E236" s="1" t="s">
        <v>53</v>
      </c>
      <c r="F236" s="5" t="str">
        <f ca="1">_xlfn.XLOOKUP(C236,'January 2025'!C:C,'January 2025'!F:F)</f>
        <v xml:space="preserve">Admin </v>
      </c>
      <c r="G236" s="1">
        <v>11000</v>
      </c>
      <c r="H236" s="1">
        <v>11000</v>
      </c>
      <c r="I236" s="1">
        <v>0</v>
      </c>
      <c r="J236" s="1">
        <v>0</v>
      </c>
      <c r="K236" s="1" t="s">
        <v>557</v>
      </c>
    </row>
    <row r="237" spans="1:11" x14ac:dyDescent="0.3">
      <c r="A237" s="1">
        <v>236</v>
      </c>
      <c r="B237" s="1">
        <v>10139</v>
      </c>
      <c r="C237" s="1" t="s">
        <v>260</v>
      </c>
      <c r="D237" s="1" t="s">
        <v>565</v>
      </c>
      <c r="E237" s="1" t="s">
        <v>53</v>
      </c>
      <c r="F237" s="5" t="str">
        <f>_xlfn.XLOOKUP(B237,'April 2025'!B:B,'April 2025'!F:F)</f>
        <v>Manufacturing</v>
      </c>
      <c r="G237" s="1">
        <v>15000</v>
      </c>
      <c r="H237" s="1">
        <v>15000</v>
      </c>
      <c r="I237" s="1">
        <v>0</v>
      </c>
      <c r="J237" s="1">
        <v>0</v>
      </c>
      <c r="K237" s="1" t="str">
        <f>_xlfn.XLOOKUP(C237,'April 2025'!C:C,'April 2025'!K:K)</f>
        <v>L-9</v>
      </c>
    </row>
    <row r="238" spans="1:11" x14ac:dyDescent="0.3">
      <c r="A238" s="1">
        <v>237</v>
      </c>
      <c r="B238" s="1">
        <v>10140</v>
      </c>
      <c r="C238" s="1" t="s">
        <v>261</v>
      </c>
      <c r="D238" s="1" t="s">
        <v>565</v>
      </c>
      <c r="E238" s="1" t="s">
        <v>35</v>
      </c>
      <c r="F238" s="5" t="str">
        <f>_xlfn.XLOOKUP(B238,'April 2025'!B:B,'April 2025'!F:F)</f>
        <v>Manufacturing</v>
      </c>
      <c r="G238" s="1">
        <v>12500</v>
      </c>
      <c r="H238" s="1">
        <v>12500</v>
      </c>
      <c r="I238" s="1">
        <v>0</v>
      </c>
      <c r="J238" s="1">
        <v>0</v>
      </c>
      <c r="K238" s="1" t="str">
        <f>_xlfn.XLOOKUP(C238,'April 2025'!C:C,'April 2025'!K:K)</f>
        <v>L-9</v>
      </c>
    </row>
    <row r="239" spans="1:11" x14ac:dyDescent="0.3">
      <c r="A239" s="1">
        <v>238</v>
      </c>
      <c r="B239" s="1">
        <v>10141</v>
      </c>
      <c r="C239" s="1" t="s">
        <v>262</v>
      </c>
      <c r="D239" s="1" t="s">
        <v>565</v>
      </c>
      <c r="E239" s="1" t="s">
        <v>53</v>
      </c>
      <c r="F239" s="5" t="str">
        <f ca="1">_xlfn.XLOOKUP(C239,'January 2025'!C:C,'January 2025'!F:F)</f>
        <v>Domestic</v>
      </c>
      <c r="G239" s="1">
        <v>11000</v>
      </c>
      <c r="H239" s="1">
        <v>11000</v>
      </c>
      <c r="I239" s="1">
        <v>0</v>
      </c>
      <c r="J239" s="1">
        <v>0</v>
      </c>
      <c r="K239" s="1" t="s">
        <v>557</v>
      </c>
    </row>
    <row r="240" spans="1:11" x14ac:dyDescent="0.3">
      <c r="A240" s="1">
        <v>239</v>
      </c>
      <c r="B240" s="1">
        <v>10142</v>
      </c>
      <c r="C240" s="1" t="s">
        <v>265</v>
      </c>
      <c r="D240" s="1" t="s">
        <v>565</v>
      </c>
      <c r="E240" s="1" t="s">
        <v>35</v>
      </c>
      <c r="F240" s="5" t="str">
        <f>_xlfn.XLOOKUP(B240,'April 2025'!B:B,'April 2025'!F:F)</f>
        <v>Manufacturing</v>
      </c>
      <c r="G240" s="1">
        <v>14000</v>
      </c>
      <c r="H240" s="1">
        <v>14000</v>
      </c>
      <c r="I240" s="1">
        <v>0</v>
      </c>
      <c r="J240" s="1">
        <v>0</v>
      </c>
      <c r="K240" s="1" t="str">
        <f>_xlfn.XLOOKUP(C240,'April 2025'!C:C,'April 2025'!K:K)</f>
        <v>L-9</v>
      </c>
    </row>
    <row r="241" spans="1:11" x14ac:dyDescent="0.3">
      <c r="A241" s="1">
        <v>240</v>
      </c>
      <c r="B241" s="1">
        <v>10143</v>
      </c>
      <c r="C241" s="1" t="s">
        <v>266</v>
      </c>
      <c r="D241" s="1" t="s">
        <v>565</v>
      </c>
      <c r="E241" s="1" t="s">
        <v>267</v>
      </c>
      <c r="F241" s="5" t="str">
        <f>_xlfn.XLOOKUP(B241,'April 2025'!B:B,'April 2025'!F:F)</f>
        <v>Manufacturing</v>
      </c>
      <c r="G241" s="1">
        <v>11500</v>
      </c>
      <c r="H241" s="1">
        <v>11500</v>
      </c>
      <c r="I241" s="1">
        <v>0</v>
      </c>
      <c r="J241" s="1">
        <v>0</v>
      </c>
      <c r="K241" s="1" t="str">
        <f>_xlfn.XLOOKUP(C241,'April 2025'!C:C,'April 2025'!K:K)</f>
        <v>L-9</v>
      </c>
    </row>
    <row r="242" spans="1:11" x14ac:dyDescent="0.3">
      <c r="A242" s="1">
        <v>241</v>
      </c>
      <c r="B242" s="1">
        <v>10144</v>
      </c>
      <c r="C242" s="1" t="s">
        <v>268</v>
      </c>
      <c r="D242" s="1" t="s">
        <v>565</v>
      </c>
      <c r="E242" s="1" t="s">
        <v>35</v>
      </c>
      <c r="F242" s="5" t="s">
        <v>501</v>
      </c>
      <c r="G242" s="1">
        <v>12500</v>
      </c>
      <c r="H242" s="1">
        <v>12500</v>
      </c>
      <c r="I242" s="1">
        <v>0</v>
      </c>
      <c r="J242" s="1">
        <v>0</v>
      </c>
      <c r="K242" s="1" t="s">
        <v>556</v>
      </c>
    </row>
    <row r="243" spans="1:11" x14ac:dyDescent="0.3">
      <c r="A243" s="1">
        <v>242</v>
      </c>
      <c r="B243" s="1">
        <v>10145</v>
      </c>
      <c r="C243" s="1" t="s">
        <v>269</v>
      </c>
      <c r="D243" s="1" t="s">
        <v>565</v>
      </c>
      <c r="E243" s="1" t="s">
        <v>35</v>
      </c>
      <c r="F243" s="5" t="s">
        <v>501</v>
      </c>
      <c r="G243" s="1">
        <v>12500</v>
      </c>
      <c r="H243" s="1">
        <v>12500</v>
      </c>
      <c r="I243" s="1">
        <v>0</v>
      </c>
      <c r="J243" s="1">
        <v>0</v>
      </c>
      <c r="K243" s="1" t="s">
        <v>556</v>
      </c>
    </row>
    <row r="244" spans="1:11" x14ac:dyDescent="0.3">
      <c r="A244" s="1">
        <v>243</v>
      </c>
      <c r="B244" s="1">
        <v>10146</v>
      </c>
      <c r="C244" s="1" t="s">
        <v>270</v>
      </c>
      <c r="D244" s="1" t="s">
        <v>565</v>
      </c>
      <c r="E244" s="1" t="s">
        <v>61</v>
      </c>
      <c r="F244" s="5" t="str">
        <f>_xlfn.XLOOKUP(B244,'April 2025'!B:B,'April 2025'!F:F)</f>
        <v>Domestic</v>
      </c>
      <c r="G244" s="1">
        <v>13000</v>
      </c>
      <c r="H244" s="1">
        <v>13000</v>
      </c>
      <c r="I244" s="1">
        <v>0</v>
      </c>
      <c r="J244" s="1">
        <v>0</v>
      </c>
      <c r="K244" s="1" t="str">
        <f>_xlfn.XLOOKUP(C244,'April 2025'!C:C,'April 2025'!K:K)</f>
        <v>L-9</v>
      </c>
    </row>
    <row r="245" spans="1:11" x14ac:dyDescent="0.3">
      <c r="A245" s="1">
        <v>244</v>
      </c>
      <c r="B245" s="1">
        <v>10147</v>
      </c>
      <c r="C245" s="1" t="s">
        <v>271</v>
      </c>
      <c r="D245" s="1" t="s">
        <v>565</v>
      </c>
      <c r="E245" s="1" t="s">
        <v>130</v>
      </c>
      <c r="F245" s="5" t="s">
        <v>501</v>
      </c>
      <c r="G245" s="1">
        <v>8500</v>
      </c>
      <c r="H245" s="1">
        <v>8500</v>
      </c>
      <c r="I245" s="1">
        <v>0</v>
      </c>
      <c r="J245" s="1">
        <v>0</v>
      </c>
      <c r="K245" s="1" t="s">
        <v>556</v>
      </c>
    </row>
    <row r="246" spans="1:11" x14ac:dyDescent="0.3">
      <c r="A246" s="1">
        <v>245</v>
      </c>
      <c r="B246" s="1">
        <v>10148</v>
      </c>
      <c r="C246" s="1" t="s">
        <v>272</v>
      </c>
      <c r="D246" s="1" t="s">
        <v>565</v>
      </c>
      <c r="E246" s="1" t="s">
        <v>55</v>
      </c>
      <c r="F246" s="5" t="str">
        <f>_xlfn.XLOOKUP(B246,'April 2025'!B:B,'April 2025'!F:F)</f>
        <v>Manufacturing</v>
      </c>
      <c r="G246" s="1">
        <v>13000</v>
      </c>
      <c r="H246" s="1">
        <v>13000</v>
      </c>
      <c r="I246" s="1">
        <v>0</v>
      </c>
      <c r="J246" s="1">
        <v>0</v>
      </c>
      <c r="K246" s="1" t="str">
        <f>_xlfn.XLOOKUP(C246,'April 2025'!C:C,'April 2025'!K:K)</f>
        <v>L-7</v>
      </c>
    </row>
    <row r="247" spans="1:11" x14ac:dyDescent="0.3">
      <c r="A247" s="1">
        <v>246</v>
      </c>
      <c r="B247" s="1">
        <v>10149</v>
      </c>
      <c r="C247" s="1" t="s">
        <v>273</v>
      </c>
      <c r="D247" s="1" t="s">
        <v>565</v>
      </c>
      <c r="E247" s="1" t="s">
        <v>35</v>
      </c>
      <c r="F247" s="5" t="s">
        <v>501</v>
      </c>
      <c r="G247" s="1">
        <v>12500</v>
      </c>
      <c r="H247" s="1">
        <v>12500</v>
      </c>
      <c r="I247" s="1">
        <v>0</v>
      </c>
      <c r="J247" s="1">
        <v>0</v>
      </c>
      <c r="K247" s="1" t="s">
        <v>556</v>
      </c>
    </row>
    <row r="248" spans="1:11" x14ac:dyDescent="0.3">
      <c r="A248" s="1">
        <v>247</v>
      </c>
      <c r="B248" s="1">
        <v>10150</v>
      </c>
      <c r="C248" s="1" t="s">
        <v>274</v>
      </c>
      <c r="D248" s="1" t="s">
        <v>565</v>
      </c>
      <c r="E248" s="1" t="s">
        <v>35</v>
      </c>
      <c r="F248" s="5" t="s">
        <v>501</v>
      </c>
      <c r="G248" s="1">
        <v>13000</v>
      </c>
      <c r="H248" s="1">
        <v>13000</v>
      </c>
      <c r="I248" s="1">
        <v>0</v>
      </c>
      <c r="J248" s="1">
        <v>0</v>
      </c>
      <c r="K248" s="1" t="s">
        <v>556</v>
      </c>
    </row>
    <row r="249" spans="1:11" x14ac:dyDescent="0.3">
      <c r="A249" s="1">
        <v>248</v>
      </c>
      <c r="B249" s="1">
        <v>10151</v>
      </c>
      <c r="C249" s="1" t="s">
        <v>275</v>
      </c>
      <c r="D249" s="1" t="s">
        <v>565</v>
      </c>
      <c r="E249" s="1" t="s">
        <v>35</v>
      </c>
      <c r="F249" s="5" t="str">
        <f>_xlfn.XLOOKUP(B249,'April 2025'!B:B,'April 2025'!F:F)</f>
        <v>Manufacturing</v>
      </c>
      <c r="G249" s="1">
        <v>12000</v>
      </c>
      <c r="H249" s="1">
        <v>12000</v>
      </c>
      <c r="I249" s="1">
        <v>0</v>
      </c>
      <c r="J249" s="1">
        <v>0</v>
      </c>
      <c r="K249" s="1" t="str">
        <f>_xlfn.XLOOKUP(C249,'April 2025'!C:C,'April 2025'!K:K)</f>
        <v>L-9</v>
      </c>
    </row>
    <row r="250" spans="1:11" x14ac:dyDescent="0.3">
      <c r="A250" s="1">
        <v>249</v>
      </c>
      <c r="B250" s="1">
        <v>10152</v>
      </c>
      <c r="C250" s="1" t="s">
        <v>276</v>
      </c>
      <c r="D250" s="1" t="s">
        <v>565</v>
      </c>
      <c r="E250" s="1" t="s">
        <v>35</v>
      </c>
      <c r="F250" s="5" t="str">
        <f>_xlfn.XLOOKUP(B250,'April 2025'!B:B,'April 2025'!F:F)</f>
        <v>Domestic</v>
      </c>
      <c r="G250" s="1">
        <v>12000</v>
      </c>
      <c r="H250" s="1">
        <v>12000</v>
      </c>
      <c r="I250" s="1">
        <v>0</v>
      </c>
      <c r="J250" s="1">
        <v>0</v>
      </c>
      <c r="K250" s="1" t="str">
        <f>_xlfn.XLOOKUP(C250,'April 2025'!C:C,'April 2025'!K:K)</f>
        <v>L-9</v>
      </c>
    </row>
    <row r="251" spans="1:11" x14ac:dyDescent="0.3">
      <c r="A251" s="1">
        <v>250</v>
      </c>
      <c r="B251" s="1">
        <v>10153</v>
      </c>
      <c r="C251" s="1" t="s">
        <v>277</v>
      </c>
      <c r="D251" s="1" t="s">
        <v>565</v>
      </c>
      <c r="E251" s="1" t="s">
        <v>53</v>
      </c>
      <c r="F251" s="5" t="str">
        <f>_xlfn.XLOOKUP(B251,'April 2025'!B:B,'April 2025'!F:F)</f>
        <v>Manufacturing</v>
      </c>
      <c r="G251" s="1">
        <v>14000</v>
      </c>
      <c r="H251" s="1">
        <v>14000</v>
      </c>
      <c r="I251" s="1">
        <v>0</v>
      </c>
      <c r="J251" s="1">
        <v>0</v>
      </c>
      <c r="K251" s="1" t="str">
        <f>_xlfn.XLOOKUP(C251,'April 2025'!C:C,'April 2025'!K:K)</f>
        <v>L-10</v>
      </c>
    </row>
    <row r="252" spans="1:11" x14ac:dyDescent="0.3">
      <c r="A252" s="1">
        <v>251</v>
      </c>
      <c r="B252" s="1">
        <v>10154</v>
      </c>
      <c r="C252" s="1" t="s">
        <v>278</v>
      </c>
      <c r="D252" s="1" t="s">
        <v>565</v>
      </c>
      <c r="E252" s="1" t="s">
        <v>53</v>
      </c>
      <c r="F252" s="5" t="s">
        <v>501</v>
      </c>
      <c r="G252" s="1">
        <v>8500</v>
      </c>
      <c r="H252" s="1">
        <v>8500</v>
      </c>
      <c r="I252" s="1">
        <v>0</v>
      </c>
      <c r="J252" s="1">
        <v>0</v>
      </c>
      <c r="K252" s="1" t="s">
        <v>557</v>
      </c>
    </row>
    <row r="253" spans="1:11" x14ac:dyDescent="0.3">
      <c r="A253" s="1">
        <v>252</v>
      </c>
      <c r="B253" s="1">
        <v>10155</v>
      </c>
      <c r="C253" s="1" t="s">
        <v>279</v>
      </c>
      <c r="D253" s="1" t="s">
        <v>565</v>
      </c>
      <c r="E253" s="1" t="s">
        <v>53</v>
      </c>
      <c r="F253" s="5" t="s">
        <v>501</v>
      </c>
      <c r="G253" s="1">
        <v>8500</v>
      </c>
      <c r="H253" s="1">
        <v>8500</v>
      </c>
      <c r="I253" s="1">
        <v>0</v>
      </c>
      <c r="J253" s="1">
        <v>0</v>
      </c>
      <c r="K253" s="1" t="s">
        <v>557</v>
      </c>
    </row>
    <row r="254" spans="1:11" x14ac:dyDescent="0.3">
      <c r="A254" s="1">
        <v>253</v>
      </c>
      <c r="B254" s="1">
        <v>10156</v>
      </c>
      <c r="C254" s="1" t="s">
        <v>280</v>
      </c>
      <c r="D254" s="1" t="s">
        <v>565</v>
      </c>
      <c r="E254" s="1" t="s">
        <v>53</v>
      </c>
      <c r="F254" s="5" t="s">
        <v>501</v>
      </c>
      <c r="G254" s="1">
        <v>11000</v>
      </c>
      <c r="H254" s="1">
        <v>11000</v>
      </c>
      <c r="I254" s="1">
        <v>0</v>
      </c>
      <c r="J254" s="1">
        <v>0</v>
      </c>
      <c r="K254" s="1" t="s">
        <v>557</v>
      </c>
    </row>
    <row r="255" spans="1:11" x14ac:dyDescent="0.3">
      <c r="A255" s="1">
        <v>254</v>
      </c>
      <c r="B255" s="1">
        <v>62</v>
      </c>
      <c r="C255" s="1" t="s">
        <v>281</v>
      </c>
      <c r="D255" s="1" t="s">
        <v>564</v>
      </c>
      <c r="E255" s="1" t="s">
        <v>67</v>
      </c>
      <c r="F255" s="5" t="str">
        <f>_xlfn.XLOOKUP(B255,'April 2025'!B:B,'April 2025'!F:F)</f>
        <v>Manufacturing</v>
      </c>
      <c r="G255" s="1">
        <v>30000</v>
      </c>
      <c r="H255" s="1">
        <v>30000</v>
      </c>
      <c r="I255" s="1">
        <v>0</v>
      </c>
      <c r="J255" s="1">
        <v>0</v>
      </c>
      <c r="K255" s="1" t="str">
        <f>_xlfn.XLOOKUP(C255,'April 2025'!C:C,'April 2025'!K:K)</f>
        <v>L-9</v>
      </c>
    </row>
    <row r="256" spans="1:11" x14ac:dyDescent="0.3">
      <c r="A256" s="1">
        <v>255</v>
      </c>
      <c r="B256" s="1">
        <v>63</v>
      </c>
      <c r="C256" s="1" t="s">
        <v>284</v>
      </c>
      <c r="D256" s="1" t="s">
        <v>564</v>
      </c>
      <c r="E256" s="1" t="s">
        <v>208</v>
      </c>
      <c r="F256" s="5" t="str">
        <f>_xlfn.XLOOKUP(B256,'April 2025'!B:B,'April 2025'!F:F)</f>
        <v>Manufacturing</v>
      </c>
      <c r="G256" s="1">
        <v>43000</v>
      </c>
      <c r="H256" s="1">
        <v>41200</v>
      </c>
      <c r="I256" s="1">
        <v>1950</v>
      </c>
      <c r="J256" s="1">
        <v>0</v>
      </c>
      <c r="K256" s="1" t="str">
        <f>_xlfn.XLOOKUP(C256,'April 2025'!C:C,'April 2025'!K:K)</f>
        <v>L-5</v>
      </c>
    </row>
    <row r="257" spans="1:11" x14ac:dyDescent="0.3">
      <c r="A257" s="1">
        <v>256</v>
      </c>
      <c r="B257" s="1">
        <v>64</v>
      </c>
      <c r="C257" s="1" t="s">
        <v>285</v>
      </c>
      <c r="D257" s="1" t="s">
        <v>564</v>
      </c>
      <c r="E257" s="1" t="s">
        <v>286</v>
      </c>
      <c r="F257" s="5" t="str">
        <f>_xlfn.XLOOKUP(B257,'April 2025'!B:B,'April 2025'!F:F)</f>
        <v>Manufacturing</v>
      </c>
      <c r="G257" s="1">
        <v>5000</v>
      </c>
      <c r="H257" s="1">
        <v>4962</v>
      </c>
      <c r="I257" s="1">
        <v>0</v>
      </c>
      <c r="J257" s="1">
        <v>163</v>
      </c>
      <c r="K257" s="1" t="str">
        <f>_xlfn.XLOOKUP(C257,'April 2025'!C:C,'April 2025'!K:K)</f>
        <v>L-7</v>
      </c>
    </row>
    <row r="258" spans="1:11" x14ac:dyDescent="0.3">
      <c r="A258" s="1">
        <v>257</v>
      </c>
      <c r="B258" s="1">
        <v>10157</v>
      </c>
      <c r="C258" s="1" t="s">
        <v>287</v>
      </c>
      <c r="D258" s="1" t="s">
        <v>565</v>
      </c>
      <c r="E258" s="1" t="s">
        <v>35</v>
      </c>
      <c r="F258" s="5" t="str">
        <f>_xlfn.XLOOKUP(B258,'April 2025'!B:B,'April 2025'!F:F)</f>
        <v>Manufacturing</v>
      </c>
      <c r="G258" s="1">
        <v>11500</v>
      </c>
      <c r="H258" s="1">
        <v>11500</v>
      </c>
      <c r="I258" s="1">
        <v>0</v>
      </c>
      <c r="J258" s="1">
        <v>0</v>
      </c>
      <c r="K258" s="1" t="str">
        <f>_xlfn.XLOOKUP(C258,'April 2025'!C:C,'April 2025'!K:K)</f>
        <v>L-9</v>
      </c>
    </row>
    <row r="259" spans="1:11" x14ac:dyDescent="0.3">
      <c r="A259" s="1">
        <v>258</v>
      </c>
      <c r="B259" s="1">
        <v>10158</v>
      </c>
      <c r="C259" s="1" t="s">
        <v>288</v>
      </c>
      <c r="D259" s="1" t="s">
        <v>565</v>
      </c>
      <c r="E259" s="1" t="s">
        <v>235</v>
      </c>
      <c r="F259" s="5" t="str">
        <f>_xlfn.XLOOKUP(B259,'April 2025'!B:B,'April 2025'!F:F)</f>
        <v>Manufacturing</v>
      </c>
      <c r="G259" s="1">
        <v>25000</v>
      </c>
      <c r="H259" s="1">
        <v>25000</v>
      </c>
      <c r="I259" s="1">
        <v>0</v>
      </c>
      <c r="J259" s="1">
        <v>0</v>
      </c>
      <c r="K259" s="1" t="str">
        <f>_xlfn.XLOOKUP(C259,'April 2025'!C:C,'April 2025'!K:K)</f>
        <v>L-9</v>
      </c>
    </row>
    <row r="260" spans="1:11" x14ac:dyDescent="0.3">
      <c r="A260" s="1">
        <v>259</v>
      </c>
      <c r="B260" s="1">
        <v>10159</v>
      </c>
      <c r="C260" s="1" t="s">
        <v>289</v>
      </c>
      <c r="D260" s="1" t="s">
        <v>565</v>
      </c>
      <c r="E260" s="1" t="s">
        <v>35</v>
      </c>
      <c r="F260" s="5" t="s">
        <v>501</v>
      </c>
      <c r="G260" s="1">
        <v>12500</v>
      </c>
      <c r="H260" s="1">
        <v>12500</v>
      </c>
      <c r="I260" s="1">
        <v>0</v>
      </c>
      <c r="J260" s="1">
        <v>0</v>
      </c>
      <c r="K260" s="1" t="s">
        <v>556</v>
      </c>
    </row>
    <row r="261" spans="1:11" x14ac:dyDescent="0.3">
      <c r="A261" s="1">
        <v>260</v>
      </c>
      <c r="B261" s="1">
        <v>10160</v>
      </c>
      <c r="C261" s="1" t="s">
        <v>290</v>
      </c>
      <c r="D261" s="1" t="s">
        <v>565</v>
      </c>
      <c r="E261" s="1" t="s">
        <v>35</v>
      </c>
      <c r="F261" s="5" t="str">
        <f>_xlfn.XLOOKUP(B261,'April 2025'!B:B,'April 2025'!F:F)</f>
        <v>Manufacturing</v>
      </c>
      <c r="G261" s="1">
        <v>13000</v>
      </c>
      <c r="H261" s="1">
        <v>13000</v>
      </c>
      <c r="I261" s="1">
        <v>0</v>
      </c>
      <c r="J261" s="1">
        <v>0</v>
      </c>
      <c r="K261" s="1" t="str">
        <f>_xlfn.XLOOKUP(C261,'April 2025'!C:C,'April 2025'!K:K)</f>
        <v>L-9</v>
      </c>
    </row>
    <row r="262" spans="1:11" x14ac:dyDescent="0.3">
      <c r="A262" s="1">
        <v>261</v>
      </c>
      <c r="B262" s="1">
        <v>10161</v>
      </c>
      <c r="C262" s="1" t="s">
        <v>291</v>
      </c>
      <c r="D262" s="1" t="s">
        <v>565</v>
      </c>
      <c r="E262" s="1" t="s">
        <v>53</v>
      </c>
      <c r="F262" s="5" t="s">
        <v>501</v>
      </c>
      <c r="G262" s="1">
        <v>11500</v>
      </c>
      <c r="H262" s="1">
        <v>11500</v>
      </c>
      <c r="I262" s="1">
        <v>0</v>
      </c>
      <c r="J262" s="1">
        <v>0</v>
      </c>
      <c r="K262" s="1" t="s">
        <v>557</v>
      </c>
    </row>
    <row r="263" spans="1:11" x14ac:dyDescent="0.3">
      <c r="A263" s="1">
        <v>262</v>
      </c>
      <c r="B263" s="1">
        <v>10162</v>
      </c>
      <c r="C263" s="1" t="s">
        <v>151</v>
      </c>
      <c r="D263" s="1" t="s">
        <v>565</v>
      </c>
      <c r="E263" s="1" t="s">
        <v>35</v>
      </c>
      <c r="F263" s="5" t="str">
        <f>_xlfn.XLOOKUP(B263,'April 2025'!B:B,'April 2025'!F:F)</f>
        <v>Manufacturing</v>
      </c>
      <c r="G263" s="1">
        <v>13500</v>
      </c>
      <c r="H263" s="1">
        <v>13500</v>
      </c>
      <c r="I263" s="1">
        <v>0</v>
      </c>
      <c r="J263" s="1">
        <v>0</v>
      </c>
      <c r="K263" s="1" t="str">
        <f>_xlfn.XLOOKUP(C263,'April 2025'!C:C,'April 2025'!K:K)</f>
        <v>L-9</v>
      </c>
    </row>
    <row r="264" spans="1:11" x14ac:dyDescent="0.3">
      <c r="A264" s="1">
        <v>263</v>
      </c>
      <c r="B264" s="1">
        <v>10163</v>
      </c>
      <c r="C264" s="1" t="s">
        <v>292</v>
      </c>
      <c r="D264" s="1" t="s">
        <v>565</v>
      </c>
      <c r="E264" s="1" t="s">
        <v>35</v>
      </c>
      <c r="F264" s="5" t="str">
        <f>_xlfn.XLOOKUP(B264,'April 2025'!B:B,'April 2025'!F:F)</f>
        <v>Manufacturing</v>
      </c>
      <c r="G264" s="1">
        <v>12500</v>
      </c>
      <c r="H264" s="1">
        <v>12500</v>
      </c>
      <c r="I264" s="1">
        <v>0</v>
      </c>
      <c r="J264" s="1">
        <v>0</v>
      </c>
      <c r="K264" s="1" t="str">
        <f>_xlfn.XLOOKUP(C264,'April 2025'!C:C,'April 2025'!K:K)</f>
        <v>L-9</v>
      </c>
    </row>
    <row r="265" spans="1:11" x14ac:dyDescent="0.3">
      <c r="A265" s="1">
        <v>264</v>
      </c>
      <c r="B265" s="1">
        <v>10164</v>
      </c>
      <c r="C265" s="1" t="s">
        <v>38</v>
      </c>
      <c r="D265" s="1" t="s">
        <v>565</v>
      </c>
      <c r="E265" s="1" t="s">
        <v>35</v>
      </c>
      <c r="F265" s="5" t="str">
        <f>_xlfn.XLOOKUP(B265,'April 2025'!B:B,'April 2025'!F:F)</f>
        <v>Manufacturing</v>
      </c>
      <c r="G265" s="1">
        <v>11000</v>
      </c>
      <c r="H265" s="1">
        <v>11000</v>
      </c>
      <c r="I265" s="1">
        <v>0</v>
      </c>
      <c r="J265" s="1">
        <v>0</v>
      </c>
      <c r="K265" s="1" t="str">
        <f>_xlfn.XLOOKUP(C265,'April 2025'!C:C,'April 2025'!K:K)</f>
        <v>L-9</v>
      </c>
    </row>
    <row r="266" spans="1:11" x14ac:dyDescent="0.3">
      <c r="A266" s="1">
        <v>265</v>
      </c>
      <c r="B266" s="1">
        <v>10165</v>
      </c>
      <c r="C266" s="1" t="s">
        <v>293</v>
      </c>
      <c r="D266" s="1" t="s">
        <v>565</v>
      </c>
      <c r="E266" s="1" t="s">
        <v>53</v>
      </c>
      <c r="F266" s="5" t="str">
        <f>_xlfn.XLOOKUP(B266,'April 2025'!B:B,'April 2025'!F:F)</f>
        <v>Manufacturing</v>
      </c>
      <c r="G266" s="1">
        <v>11000</v>
      </c>
      <c r="H266" s="1">
        <v>11000</v>
      </c>
      <c r="I266" s="1">
        <v>0</v>
      </c>
      <c r="J266" s="1">
        <v>0</v>
      </c>
      <c r="K266" s="1" t="str">
        <f>_xlfn.XLOOKUP(C266,'April 2025'!C:C,'April 2025'!K:K)</f>
        <v>L-10</v>
      </c>
    </row>
    <row r="267" spans="1:11" x14ac:dyDescent="0.3">
      <c r="A267" s="1">
        <v>266</v>
      </c>
      <c r="B267" s="1">
        <v>10166</v>
      </c>
      <c r="C267" s="1" t="s">
        <v>294</v>
      </c>
      <c r="D267" s="1" t="s">
        <v>565</v>
      </c>
      <c r="E267" s="1" t="s">
        <v>35</v>
      </c>
      <c r="F267" s="5" t="str">
        <f>_xlfn.XLOOKUP(B267,'April 2025'!B:B,'April 2025'!F:F)</f>
        <v>Manufacturing</v>
      </c>
      <c r="G267" s="1">
        <v>11000</v>
      </c>
      <c r="H267" s="1">
        <v>11000</v>
      </c>
      <c r="I267" s="1">
        <v>0</v>
      </c>
      <c r="J267" s="1">
        <v>0</v>
      </c>
      <c r="K267" s="1" t="str">
        <f>_xlfn.XLOOKUP(C267,'April 2025'!C:C,'April 2025'!K:K)</f>
        <v>L-9</v>
      </c>
    </row>
    <row r="268" spans="1:11" x14ac:dyDescent="0.3">
      <c r="A268" s="1">
        <v>267</v>
      </c>
      <c r="B268" s="1">
        <v>65</v>
      </c>
      <c r="C268" s="1" t="s">
        <v>295</v>
      </c>
      <c r="D268" s="1" t="s">
        <v>564</v>
      </c>
      <c r="E268" s="1" t="s">
        <v>67</v>
      </c>
      <c r="F268" s="5" t="str">
        <f>_xlfn.XLOOKUP(B268,'April 2025'!B:B,'April 2025'!F:F)</f>
        <v>Manufacturing</v>
      </c>
      <c r="G268" s="1">
        <v>30000</v>
      </c>
      <c r="H268" s="1">
        <v>30000</v>
      </c>
      <c r="I268" s="1">
        <v>0</v>
      </c>
      <c r="J268" s="1">
        <v>0</v>
      </c>
      <c r="K268" s="1" t="str">
        <f>_xlfn.XLOOKUP(C268,'April 2025'!C:C,'April 2025'!K:K)</f>
        <v>L-9</v>
      </c>
    </row>
    <row r="269" spans="1:11" x14ac:dyDescent="0.3">
      <c r="A269" s="1">
        <v>268</v>
      </c>
      <c r="B269" s="1">
        <v>66</v>
      </c>
      <c r="C269" s="1" t="s">
        <v>296</v>
      </c>
      <c r="D269" s="1" t="s">
        <v>564</v>
      </c>
      <c r="E269" s="1" t="s">
        <v>67</v>
      </c>
      <c r="F269" s="5" t="str">
        <f>_xlfn.XLOOKUP(B269,'April 2025'!B:B,'April 2025'!F:F)</f>
        <v>Manufacturing</v>
      </c>
      <c r="G269" s="1">
        <v>30000</v>
      </c>
      <c r="H269" s="1">
        <v>30000</v>
      </c>
      <c r="I269" s="1">
        <v>0</v>
      </c>
      <c r="J269" s="1">
        <v>0</v>
      </c>
      <c r="K269" s="1" t="str">
        <f>_xlfn.XLOOKUP(C269,'April 2025'!C:C,'April 2025'!K:K)</f>
        <v>L-9</v>
      </c>
    </row>
    <row r="270" spans="1:11" x14ac:dyDescent="0.3">
      <c r="A270" s="1">
        <v>269</v>
      </c>
      <c r="B270" s="1">
        <v>67</v>
      </c>
      <c r="C270" s="1" t="s">
        <v>297</v>
      </c>
      <c r="D270" s="1" t="s">
        <v>564</v>
      </c>
      <c r="E270" s="1" t="s">
        <v>67</v>
      </c>
      <c r="F270" s="5" t="str">
        <f>_xlfn.XLOOKUP(B270,'April 2025'!B:B,'April 2025'!F:F)</f>
        <v>Manufacturing</v>
      </c>
      <c r="G270" s="1">
        <v>30000</v>
      </c>
      <c r="H270" s="1">
        <v>30000</v>
      </c>
      <c r="I270" s="1">
        <v>0</v>
      </c>
      <c r="J270" s="1">
        <v>0</v>
      </c>
      <c r="K270" s="1" t="str">
        <f>_xlfn.XLOOKUP(C270,'April 2025'!C:C,'April 2025'!K:K)</f>
        <v>L-9</v>
      </c>
    </row>
    <row r="271" spans="1:11" x14ac:dyDescent="0.3">
      <c r="A271" s="1">
        <v>270</v>
      </c>
      <c r="B271" s="1">
        <v>68</v>
      </c>
      <c r="C271" s="1" t="s">
        <v>298</v>
      </c>
      <c r="D271" s="1" t="s">
        <v>564</v>
      </c>
      <c r="E271" s="1" t="s">
        <v>67</v>
      </c>
      <c r="F271" s="5" t="str">
        <f>_xlfn.XLOOKUP(B271,'April 2025'!B:B,'April 2025'!F:F)</f>
        <v>Manufacturing</v>
      </c>
      <c r="G271" s="1">
        <v>30000</v>
      </c>
      <c r="H271" s="1">
        <v>30000</v>
      </c>
      <c r="I271" s="1">
        <v>0</v>
      </c>
      <c r="J271" s="1">
        <v>0</v>
      </c>
      <c r="K271" s="1" t="str">
        <f>_xlfn.XLOOKUP(C271,'April 2025'!C:C,'April 2025'!K:K)</f>
        <v>L-9</v>
      </c>
    </row>
    <row r="272" spans="1:11" x14ac:dyDescent="0.3">
      <c r="A272" s="1">
        <v>271</v>
      </c>
      <c r="B272" s="1">
        <v>69</v>
      </c>
      <c r="C272" s="1" t="s">
        <v>299</v>
      </c>
      <c r="D272" s="1" t="s">
        <v>564</v>
      </c>
      <c r="E272" s="1" t="s">
        <v>67</v>
      </c>
      <c r="F272" s="5" t="str">
        <f>_xlfn.XLOOKUP(B272,'April 2025'!B:B,'April 2025'!F:F)</f>
        <v>Manufacturing</v>
      </c>
      <c r="G272" s="1">
        <v>30000</v>
      </c>
      <c r="H272" s="1">
        <v>30000</v>
      </c>
      <c r="I272" s="1">
        <v>0</v>
      </c>
      <c r="J272" s="1">
        <v>0</v>
      </c>
      <c r="K272" s="1" t="str">
        <f>_xlfn.XLOOKUP(C272,'April 2025'!C:C,'April 2025'!K:K)</f>
        <v>L-9</v>
      </c>
    </row>
    <row r="273" spans="1:11" x14ac:dyDescent="0.3">
      <c r="A273" s="1">
        <v>272</v>
      </c>
      <c r="B273" s="1">
        <v>70</v>
      </c>
      <c r="C273" s="1" t="s">
        <v>300</v>
      </c>
      <c r="D273" s="1" t="s">
        <v>564</v>
      </c>
      <c r="E273" s="1" t="s">
        <v>67</v>
      </c>
      <c r="F273" s="5" t="str">
        <f>_xlfn.XLOOKUP(B273,'April 2025'!B:B,'April 2025'!F:F)</f>
        <v>Manufacturing</v>
      </c>
      <c r="G273" s="1">
        <v>30000</v>
      </c>
      <c r="H273" s="1">
        <v>30000</v>
      </c>
      <c r="I273" s="1">
        <v>0</v>
      </c>
      <c r="J273" s="1">
        <v>0</v>
      </c>
      <c r="K273" s="1" t="str">
        <f>_xlfn.XLOOKUP(C273,'April 2025'!C:C,'April 2025'!K:K)</f>
        <v>L-9</v>
      </c>
    </row>
    <row r="274" spans="1:11" x14ac:dyDescent="0.3">
      <c r="A274" s="1">
        <v>273</v>
      </c>
      <c r="B274" s="1">
        <v>71</v>
      </c>
      <c r="C274" s="1" t="s">
        <v>301</v>
      </c>
      <c r="D274" s="1" t="s">
        <v>564</v>
      </c>
      <c r="E274" s="1" t="s">
        <v>67</v>
      </c>
      <c r="F274" s="5" t="str">
        <f>_xlfn.XLOOKUP(B274,'April 2025'!B:B,'April 2025'!F:F)</f>
        <v>Manufacturing</v>
      </c>
      <c r="G274" s="1">
        <v>30000</v>
      </c>
      <c r="H274" s="1">
        <v>30000</v>
      </c>
      <c r="I274" s="1">
        <v>0</v>
      </c>
      <c r="J274" s="1">
        <v>0</v>
      </c>
      <c r="K274" s="1" t="str">
        <f>_xlfn.XLOOKUP(C274,'April 2025'!C:C,'April 2025'!K:K)</f>
        <v>L-9</v>
      </c>
    </row>
    <row r="275" spans="1:11" x14ac:dyDescent="0.3">
      <c r="A275" s="1">
        <v>274</v>
      </c>
      <c r="B275" s="1">
        <v>72</v>
      </c>
      <c r="C275" s="1" t="s">
        <v>302</v>
      </c>
      <c r="D275" s="1" t="s">
        <v>564</v>
      </c>
      <c r="E275" s="1" t="s">
        <v>67</v>
      </c>
      <c r="F275" s="5" t="str">
        <f>_xlfn.XLOOKUP(B275,'April 2025'!B:B,'April 2025'!F:F)</f>
        <v>Manufacturing</v>
      </c>
      <c r="G275" s="1">
        <v>30000</v>
      </c>
      <c r="H275" s="1">
        <v>30000</v>
      </c>
      <c r="I275" s="1">
        <v>0</v>
      </c>
      <c r="J275" s="1">
        <v>0</v>
      </c>
      <c r="K275" s="1" t="str">
        <f>_xlfn.XLOOKUP(C275,'April 2025'!C:C,'April 2025'!K:K)</f>
        <v>L-9</v>
      </c>
    </row>
    <row r="276" spans="1:11" x14ac:dyDescent="0.3">
      <c r="A276" s="1">
        <v>275</v>
      </c>
      <c r="B276" s="1">
        <v>73</v>
      </c>
      <c r="C276" s="1" t="s">
        <v>303</v>
      </c>
      <c r="D276" s="1" t="s">
        <v>564</v>
      </c>
      <c r="E276" s="1" t="s">
        <v>67</v>
      </c>
      <c r="F276" s="5" t="str">
        <f>_xlfn.XLOOKUP(B276,'April 2025'!B:B,'April 2025'!F:F)</f>
        <v>Manufacturing</v>
      </c>
      <c r="G276" s="1">
        <v>30000</v>
      </c>
      <c r="H276" s="1">
        <v>30000</v>
      </c>
      <c r="I276" s="1">
        <v>0</v>
      </c>
      <c r="J276" s="1">
        <v>0</v>
      </c>
      <c r="K276" s="1" t="str">
        <f>_xlfn.XLOOKUP(C276,'April 2025'!C:C,'April 2025'!K:K)</f>
        <v>L-9</v>
      </c>
    </row>
    <row r="277" spans="1:11" x14ac:dyDescent="0.3">
      <c r="A277" s="1">
        <v>276</v>
      </c>
      <c r="B277" s="1">
        <v>74</v>
      </c>
      <c r="C277" s="1" t="s">
        <v>304</v>
      </c>
      <c r="D277" s="1" t="s">
        <v>564</v>
      </c>
      <c r="E277" s="1" t="s">
        <v>67</v>
      </c>
      <c r="F277" s="5" t="str">
        <f>_xlfn.XLOOKUP(B277,'April 2025'!B:B,'April 2025'!F:F)</f>
        <v>Manufacturing</v>
      </c>
      <c r="G277" s="1">
        <v>30000</v>
      </c>
      <c r="H277" s="1">
        <v>30000</v>
      </c>
      <c r="I277" s="1">
        <v>0</v>
      </c>
      <c r="J277" s="1">
        <v>0</v>
      </c>
      <c r="K277" s="1" t="str">
        <f>_xlfn.XLOOKUP(C277,'April 2025'!C:C,'April 2025'!K:K)</f>
        <v>L-9</v>
      </c>
    </row>
    <row r="278" spans="1:11" x14ac:dyDescent="0.3">
      <c r="A278" s="1">
        <v>277</v>
      </c>
      <c r="B278" s="1">
        <v>75</v>
      </c>
      <c r="C278" s="1" t="s">
        <v>305</v>
      </c>
      <c r="D278" s="1" t="s">
        <v>564</v>
      </c>
      <c r="E278" s="1" t="s">
        <v>67</v>
      </c>
      <c r="F278" s="5" t="str">
        <f>_xlfn.XLOOKUP(B278,'April 2025'!B:B,'April 2025'!F:F)</f>
        <v>Manufacturing</v>
      </c>
      <c r="G278" s="1">
        <v>30000</v>
      </c>
      <c r="H278" s="1">
        <v>30000</v>
      </c>
      <c r="I278" s="1">
        <v>0</v>
      </c>
      <c r="J278" s="1">
        <v>0</v>
      </c>
      <c r="K278" s="1" t="str">
        <f>_xlfn.XLOOKUP(C278,'April 2025'!C:C,'April 2025'!K:K)</f>
        <v>L-9</v>
      </c>
    </row>
    <row r="279" spans="1:11" x14ac:dyDescent="0.3">
      <c r="A279" s="1">
        <v>278</v>
      </c>
      <c r="B279" s="1">
        <v>76</v>
      </c>
      <c r="C279" s="1" t="s">
        <v>306</v>
      </c>
      <c r="D279" s="1" t="s">
        <v>564</v>
      </c>
      <c r="E279" s="1" t="s">
        <v>67</v>
      </c>
      <c r="F279" s="5" t="str">
        <f>_xlfn.XLOOKUP(B279,'April 2025'!B:B,'April 2025'!F:F)</f>
        <v>Manufacturing</v>
      </c>
      <c r="G279" s="1">
        <v>30000</v>
      </c>
      <c r="H279" s="1">
        <v>30000</v>
      </c>
      <c r="I279" s="1">
        <v>0</v>
      </c>
      <c r="J279" s="1">
        <v>0</v>
      </c>
      <c r="K279" s="1" t="str">
        <f>_xlfn.XLOOKUP(C279,'April 2025'!C:C,'April 2025'!K:K)</f>
        <v>L-9</v>
      </c>
    </row>
    <row r="280" spans="1:11" x14ac:dyDescent="0.3">
      <c r="A280" s="1">
        <v>279</v>
      </c>
      <c r="B280" s="1">
        <v>77</v>
      </c>
      <c r="C280" s="1" t="s">
        <v>307</v>
      </c>
      <c r="D280" s="1" t="s">
        <v>564</v>
      </c>
      <c r="E280" s="1" t="s">
        <v>67</v>
      </c>
      <c r="F280" s="5" t="str">
        <f>_xlfn.XLOOKUP(B280,'April 2025'!B:B,'April 2025'!F:F)</f>
        <v>Manufacturing</v>
      </c>
      <c r="G280" s="1">
        <v>30000</v>
      </c>
      <c r="H280" s="1">
        <v>30000</v>
      </c>
      <c r="I280" s="1">
        <v>0</v>
      </c>
      <c r="J280" s="1">
        <v>0</v>
      </c>
      <c r="K280" s="1" t="str">
        <f>_xlfn.XLOOKUP(C280,'April 2025'!C:C,'April 2025'!K:K)</f>
        <v>L-9</v>
      </c>
    </row>
    <row r="281" spans="1:11" x14ac:dyDescent="0.3">
      <c r="A281" s="1">
        <v>280</v>
      </c>
      <c r="B281" s="1">
        <v>78</v>
      </c>
      <c r="C281" s="1" t="s">
        <v>308</v>
      </c>
      <c r="D281" s="1" t="s">
        <v>564</v>
      </c>
      <c r="E281" s="1" t="s">
        <v>67</v>
      </c>
      <c r="F281" s="5" t="str">
        <f>_xlfn.XLOOKUP(B281,'April 2025'!B:B,'April 2025'!F:F)</f>
        <v>Manufacturing</v>
      </c>
      <c r="G281" s="1">
        <v>30000</v>
      </c>
      <c r="H281" s="1">
        <v>30000</v>
      </c>
      <c r="I281" s="1">
        <v>0</v>
      </c>
      <c r="J281" s="1">
        <v>0</v>
      </c>
      <c r="K281" s="1" t="str">
        <f>_xlfn.XLOOKUP(C281,'April 2025'!C:C,'April 2025'!K:K)</f>
        <v>L-9</v>
      </c>
    </row>
    <row r="282" spans="1:11" x14ac:dyDescent="0.3">
      <c r="A282" s="1">
        <v>281</v>
      </c>
      <c r="B282" s="1">
        <v>79</v>
      </c>
      <c r="C282" s="1" t="s">
        <v>309</v>
      </c>
      <c r="D282" s="1" t="s">
        <v>564</v>
      </c>
      <c r="E282" s="1" t="s">
        <v>67</v>
      </c>
      <c r="F282" s="5" t="str">
        <f>_xlfn.XLOOKUP(B282,'April 2025'!B:B,'April 2025'!F:F)</f>
        <v>Manufacturing</v>
      </c>
      <c r="G282" s="1">
        <v>30000</v>
      </c>
      <c r="H282" s="1">
        <v>30000</v>
      </c>
      <c r="I282" s="1">
        <v>0</v>
      </c>
      <c r="J282" s="1">
        <v>0</v>
      </c>
      <c r="K282" s="1" t="str">
        <f>_xlfn.XLOOKUP(C282,'April 2025'!C:C,'April 2025'!K:K)</f>
        <v>L-9</v>
      </c>
    </row>
    <row r="283" spans="1:11" x14ac:dyDescent="0.3">
      <c r="A283" s="1">
        <v>282</v>
      </c>
      <c r="B283" s="1">
        <v>80</v>
      </c>
      <c r="C283" s="1" t="s">
        <v>310</v>
      </c>
      <c r="D283" s="1" t="s">
        <v>564</v>
      </c>
      <c r="E283" s="1" t="s">
        <v>67</v>
      </c>
      <c r="F283" s="5" t="str">
        <f>_xlfn.XLOOKUP(B283,'April 2025'!B:B,'April 2025'!F:F)</f>
        <v>Manufacturing</v>
      </c>
      <c r="G283" s="1">
        <v>30000</v>
      </c>
      <c r="H283" s="1">
        <v>30000</v>
      </c>
      <c r="I283" s="1">
        <v>0</v>
      </c>
      <c r="J283" s="1">
        <v>0</v>
      </c>
      <c r="K283" s="1" t="str">
        <f>_xlfn.XLOOKUP(C283,'April 2025'!C:C,'April 2025'!K:K)</f>
        <v>L-9</v>
      </c>
    </row>
    <row r="284" spans="1:11" x14ac:dyDescent="0.3">
      <c r="A284" s="1">
        <v>283</v>
      </c>
      <c r="B284" s="1">
        <v>81</v>
      </c>
      <c r="C284" s="1" t="s">
        <v>311</v>
      </c>
      <c r="D284" s="1" t="s">
        <v>564</v>
      </c>
      <c r="E284" s="1" t="s">
        <v>67</v>
      </c>
      <c r="F284" s="5" t="str">
        <f>_xlfn.XLOOKUP(B284,'April 2025'!B:B,'April 2025'!F:F)</f>
        <v>Manufacturing</v>
      </c>
      <c r="G284" s="1">
        <v>30000</v>
      </c>
      <c r="H284" s="1">
        <v>30000</v>
      </c>
      <c r="I284" s="1">
        <v>0</v>
      </c>
      <c r="J284" s="1">
        <v>0</v>
      </c>
      <c r="K284" s="1" t="str">
        <f>_xlfn.XLOOKUP(C284,'April 2025'!C:C,'April 2025'!K:K)</f>
        <v>L-9</v>
      </c>
    </row>
    <row r="285" spans="1:11" x14ac:dyDescent="0.3">
      <c r="A285" s="1">
        <v>284</v>
      </c>
      <c r="B285" s="1">
        <v>82</v>
      </c>
      <c r="C285" s="1" t="s">
        <v>312</v>
      </c>
      <c r="D285" s="1" t="s">
        <v>564</v>
      </c>
      <c r="E285" s="1" t="s">
        <v>67</v>
      </c>
      <c r="F285" s="5" t="str">
        <f>_xlfn.XLOOKUP(B285,'April 2025'!B:B,'April 2025'!F:F)</f>
        <v xml:space="preserve">Admin </v>
      </c>
      <c r="G285" s="1">
        <v>30000</v>
      </c>
      <c r="H285" s="1">
        <v>30000</v>
      </c>
      <c r="I285" s="1">
        <v>0</v>
      </c>
      <c r="J285" s="1">
        <v>0</v>
      </c>
      <c r="K285" s="1" t="str">
        <f>_xlfn.XLOOKUP(C285,'April 2025'!C:C,'April 2025'!K:K)</f>
        <v>L-9</v>
      </c>
    </row>
    <row r="286" spans="1:11" x14ac:dyDescent="0.3">
      <c r="A286" s="1">
        <v>285</v>
      </c>
      <c r="B286" s="1">
        <v>83</v>
      </c>
      <c r="C286" s="1" t="s">
        <v>313</v>
      </c>
      <c r="D286" s="1" t="s">
        <v>564</v>
      </c>
      <c r="E286" s="1" t="s">
        <v>67</v>
      </c>
      <c r="F286" s="5" t="str">
        <f>_xlfn.XLOOKUP(B286,'April 2025'!B:B,'April 2025'!F:F)</f>
        <v>Domestic</v>
      </c>
      <c r="G286" s="1">
        <v>30000</v>
      </c>
      <c r="H286" s="1">
        <v>30000</v>
      </c>
      <c r="I286" s="1">
        <v>0</v>
      </c>
      <c r="J286" s="1">
        <v>0</v>
      </c>
      <c r="K286" s="1" t="str">
        <f>_xlfn.XLOOKUP(C286,'April 2025'!C:C,'April 2025'!K:K)</f>
        <v>L-9</v>
      </c>
    </row>
    <row r="287" spans="1:11" x14ac:dyDescent="0.3">
      <c r="A287" s="1">
        <v>286</v>
      </c>
      <c r="B287" s="1">
        <v>84</v>
      </c>
      <c r="C287" s="1" t="s">
        <v>314</v>
      </c>
      <c r="D287" s="1" t="s">
        <v>564</v>
      </c>
      <c r="E287" s="1" t="s">
        <v>67</v>
      </c>
      <c r="F287" s="5" t="str">
        <f>_xlfn.XLOOKUP(B287,'April 2025'!B:B,'April 2025'!F:F)</f>
        <v>Manufacturing</v>
      </c>
      <c r="G287" s="1">
        <v>30000</v>
      </c>
      <c r="H287" s="1">
        <v>30000</v>
      </c>
      <c r="I287" s="1">
        <v>0</v>
      </c>
      <c r="J287" s="1">
        <v>0</v>
      </c>
      <c r="K287" s="1" t="str">
        <f>_xlfn.XLOOKUP(C287,'April 2025'!C:C,'April 2025'!K:K)</f>
        <v>L-9</v>
      </c>
    </row>
    <row r="288" spans="1:11" x14ac:dyDescent="0.3">
      <c r="A288" s="1">
        <v>287</v>
      </c>
      <c r="B288" s="1">
        <v>85</v>
      </c>
      <c r="C288" s="1" t="s">
        <v>315</v>
      </c>
      <c r="D288" s="1" t="s">
        <v>564</v>
      </c>
      <c r="E288" s="1" t="s">
        <v>67</v>
      </c>
      <c r="F288" s="5" t="str">
        <f>_xlfn.XLOOKUP(B288,'April 2025'!B:B,'April 2025'!F:F)</f>
        <v xml:space="preserve">Admin </v>
      </c>
      <c r="G288" s="1">
        <v>30000</v>
      </c>
      <c r="H288" s="1">
        <v>30000</v>
      </c>
      <c r="I288" s="1">
        <v>0</v>
      </c>
      <c r="J288" s="1">
        <v>0</v>
      </c>
      <c r="K288" s="1" t="str">
        <f>_xlfn.XLOOKUP(C288,'April 2025'!C:C,'April 2025'!K:K)</f>
        <v>L-9</v>
      </c>
    </row>
    <row r="289" spans="1:11" x14ac:dyDescent="0.3">
      <c r="A289" s="1">
        <v>288</v>
      </c>
      <c r="B289" s="1">
        <v>86</v>
      </c>
      <c r="C289" s="1" t="s">
        <v>316</v>
      </c>
      <c r="D289" s="1" t="s">
        <v>564</v>
      </c>
      <c r="E289" s="1" t="s">
        <v>67</v>
      </c>
      <c r="F289" s="5" t="str">
        <f>_xlfn.XLOOKUP(B289,'April 2025'!B:B,'April 2025'!F:F)</f>
        <v>Domestic</v>
      </c>
      <c r="G289" s="1">
        <v>30000</v>
      </c>
      <c r="H289" s="1">
        <v>30000</v>
      </c>
      <c r="I289" s="1">
        <v>0</v>
      </c>
      <c r="J289" s="1">
        <v>0</v>
      </c>
      <c r="K289" s="1" t="str">
        <f>_xlfn.XLOOKUP(C289,'April 2025'!C:C,'April 2025'!K:K)</f>
        <v>L-9</v>
      </c>
    </row>
    <row r="290" spans="1:11" x14ac:dyDescent="0.3">
      <c r="A290" s="1">
        <v>289</v>
      </c>
      <c r="B290" s="1">
        <v>87</v>
      </c>
      <c r="C290" s="1" t="s">
        <v>317</v>
      </c>
      <c r="D290" s="1" t="s">
        <v>564</v>
      </c>
      <c r="E290" s="1" t="s">
        <v>67</v>
      </c>
      <c r="F290" s="5" t="str">
        <f>_xlfn.XLOOKUP(B290,'April 2025'!B:B,'April 2025'!F:F)</f>
        <v>D2C</v>
      </c>
      <c r="G290" s="1">
        <v>30000</v>
      </c>
      <c r="H290" s="1">
        <v>30000</v>
      </c>
      <c r="I290" s="1">
        <v>0</v>
      </c>
      <c r="J290" s="1">
        <v>0</v>
      </c>
      <c r="K290" s="1" t="str">
        <f>_xlfn.XLOOKUP(C290,'April 2025'!C:C,'April 2025'!K:K)</f>
        <v>L-9</v>
      </c>
    </row>
    <row r="291" spans="1:11" x14ac:dyDescent="0.3">
      <c r="A291" s="1">
        <v>290</v>
      </c>
      <c r="B291" s="1">
        <v>88</v>
      </c>
      <c r="C291" s="1" t="s">
        <v>318</v>
      </c>
      <c r="D291" s="1" t="s">
        <v>564</v>
      </c>
      <c r="E291" s="1" t="s">
        <v>67</v>
      </c>
      <c r="F291" s="5" t="str">
        <f>_xlfn.XLOOKUP(B291,'April 2025'!B:B,'April 2025'!F:F)</f>
        <v>D2C</v>
      </c>
      <c r="G291" s="1">
        <v>30000</v>
      </c>
      <c r="H291" s="1">
        <v>30000</v>
      </c>
      <c r="I291" s="1">
        <v>0</v>
      </c>
      <c r="J291" s="1">
        <v>0</v>
      </c>
      <c r="K291" s="1" t="str">
        <f>_xlfn.XLOOKUP(C291,'April 2025'!C:C,'April 2025'!K:K)</f>
        <v>L-9</v>
      </c>
    </row>
    <row r="292" spans="1:11" x14ac:dyDescent="0.3">
      <c r="A292" s="1">
        <v>291</v>
      </c>
      <c r="B292" s="1">
        <v>89</v>
      </c>
      <c r="C292" s="1" t="s">
        <v>319</v>
      </c>
      <c r="D292" s="1" t="s">
        <v>564</v>
      </c>
      <c r="E292" s="1" t="s">
        <v>67</v>
      </c>
      <c r="F292" s="5" t="str">
        <f>_xlfn.XLOOKUP(B292,'April 2025'!B:B,'April 2025'!F:F)</f>
        <v xml:space="preserve">Admin </v>
      </c>
      <c r="G292" s="1">
        <v>30000</v>
      </c>
      <c r="H292" s="1">
        <v>30000</v>
      </c>
      <c r="I292" s="1">
        <v>0</v>
      </c>
      <c r="J292" s="1">
        <v>0</v>
      </c>
      <c r="K292" s="1" t="str">
        <f>_xlfn.XLOOKUP(C292,'April 2025'!C:C,'April 2025'!K:K)</f>
        <v>L-9</v>
      </c>
    </row>
    <row r="293" spans="1:11" x14ac:dyDescent="0.3">
      <c r="A293" s="1">
        <v>292</v>
      </c>
      <c r="B293" s="1">
        <v>90</v>
      </c>
      <c r="C293" s="1" t="s">
        <v>320</v>
      </c>
      <c r="D293" s="1" t="s">
        <v>564</v>
      </c>
      <c r="E293" s="1" t="s">
        <v>67</v>
      </c>
      <c r="F293" s="5" t="str">
        <f>_xlfn.XLOOKUP(B293,'April 2025'!B:B,'April 2025'!F:F)</f>
        <v>Manufacturing</v>
      </c>
      <c r="G293" s="1">
        <v>30000</v>
      </c>
      <c r="H293" s="1">
        <v>30000</v>
      </c>
      <c r="I293" s="1">
        <v>0</v>
      </c>
      <c r="J293" s="1">
        <v>0</v>
      </c>
      <c r="K293" s="1" t="str">
        <f>_xlfn.XLOOKUP(C293,'April 2025'!C:C,'April 2025'!K:K)</f>
        <v>L-9</v>
      </c>
    </row>
    <row r="294" spans="1:11" x14ac:dyDescent="0.3">
      <c r="A294" s="1">
        <v>293</v>
      </c>
      <c r="B294" s="1">
        <v>91</v>
      </c>
      <c r="C294" s="1" t="s">
        <v>321</v>
      </c>
      <c r="D294" s="1" t="s">
        <v>564</v>
      </c>
      <c r="E294" s="1" t="s">
        <v>67</v>
      </c>
      <c r="F294" s="5" t="str">
        <f>_xlfn.XLOOKUP(B294,'April 2025'!B:B,'April 2025'!F:F)</f>
        <v>Manufacturing</v>
      </c>
      <c r="G294" s="1">
        <v>30000</v>
      </c>
      <c r="H294" s="1">
        <v>30000</v>
      </c>
      <c r="I294" s="1">
        <v>0</v>
      </c>
      <c r="J294" s="1">
        <v>0</v>
      </c>
      <c r="K294" s="1" t="str">
        <f>_xlfn.XLOOKUP(C294,'April 2025'!C:C,'April 2025'!K:K)</f>
        <v>L-9</v>
      </c>
    </row>
    <row r="295" spans="1:11" x14ac:dyDescent="0.3">
      <c r="A295" s="1">
        <v>294</v>
      </c>
      <c r="B295" s="1">
        <v>92</v>
      </c>
      <c r="C295" s="1" t="s">
        <v>322</v>
      </c>
      <c r="D295" s="1" t="s">
        <v>564</v>
      </c>
      <c r="E295" s="1" t="s">
        <v>67</v>
      </c>
      <c r="F295" s="5" t="str">
        <f>_xlfn.XLOOKUP(B295,'April 2025'!B:B,'April 2025'!F:F)</f>
        <v>Domestic</v>
      </c>
      <c r="G295" s="1">
        <v>30000</v>
      </c>
      <c r="H295" s="1">
        <v>30000</v>
      </c>
      <c r="I295" s="1">
        <v>0</v>
      </c>
      <c r="J295" s="1">
        <v>0</v>
      </c>
      <c r="K295" s="1" t="str">
        <f>_xlfn.XLOOKUP(C295,'April 2025'!C:C,'April 2025'!K:K)</f>
        <v>L-9</v>
      </c>
    </row>
    <row r="296" spans="1:11" x14ac:dyDescent="0.3">
      <c r="A296" s="1">
        <v>295</v>
      </c>
      <c r="B296" s="1">
        <v>93</v>
      </c>
      <c r="C296" s="1" t="s">
        <v>323</v>
      </c>
      <c r="D296" s="1" t="s">
        <v>564</v>
      </c>
      <c r="E296" s="1" t="s">
        <v>67</v>
      </c>
      <c r="F296" s="5" t="str">
        <f>_xlfn.XLOOKUP(B296,'April 2025'!B:B,'April 2025'!F:F)</f>
        <v>Manufacturing</v>
      </c>
      <c r="G296" s="1">
        <v>30000</v>
      </c>
      <c r="H296" s="1">
        <v>30000</v>
      </c>
      <c r="I296" s="1">
        <v>0</v>
      </c>
      <c r="J296" s="1">
        <v>0</v>
      </c>
      <c r="K296" s="1" t="str">
        <f>_xlfn.XLOOKUP(C296,'April 2025'!C:C,'April 2025'!K:K)</f>
        <v>L-9</v>
      </c>
    </row>
    <row r="297" spans="1:11" x14ac:dyDescent="0.3">
      <c r="A297" s="1">
        <v>296</v>
      </c>
      <c r="B297" s="1">
        <v>94</v>
      </c>
      <c r="C297" s="1" t="s">
        <v>324</v>
      </c>
      <c r="D297" s="1" t="s">
        <v>564</v>
      </c>
      <c r="E297" s="1" t="s">
        <v>67</v>
      </c>
      <c r="F297" s="5" t="str">
        <f>_xlfn.XLOOKUP(B297,'April 2025'!B:B,'April 2025'!F:F)</f>
        <v xml:space="preserve">Admin </v>
      </c>
      <c r="G297" s="1">
        <v>30000</v>
      </c>
      <c r="H297" s="1">
        <v>30000</v>
      </c>
      <c r="I297" s="1">
        <v>0</v>
      </c>
      <c r="J297" s="1">
        <v>0</v>
      </c>
      <c r="K297" s="1" t="str">
        <f>_xlfn.XLOOKUP(C297,'April 2025'!C:C,'April 2025'!K:K)</f>
        <v>L-9</v>
      </c>
    </row>
    <row r="298" spans="1:11" x14ac:dyDescent="0.3">
      <c r="A298" s="1">
        <v>297</v>
      </c>
      <c r="B298" s="1">
        <v>95</v>
      </c>
      <c r="C298" s="1" t="s">
        <v>325</v>
      </c>
      <c r="D298" s="1" t="s">
        <v>564</v>
      </c>
      <c r="E298" s="1" t="s">
        <v>67</v>
      </c>
      <c r="F298" s="5" t="s">
        <v>501</v>
      </c>
      <c r="G298" s="1">
        <v>30000</v>
      </c>
      <c r="H298" s="1">
        <v>30000</v>
      </c>
      <c r="I298" s="1">
        <v>0</v>
      </c>
      <c r="J298" s="1">
        <v>0</v>
      </c>
      <c r="K298" s="1" t="s">
        <v>556</v>
      </c>
    </row>
    <row r="299" spans="1:11" x14ac:dyDescent="0.3">
      <c r="A299" s="1">
        <v>298</v>
      </c>
      <c r="B299" s="1">
        <v>96</v>
      </c>
      <c r="C299" s="1" t="s">
        <v>326</v>
      </c>
      <c r="D299" s="1" t="s">
        <v>564</v>
      </c>
      <c r="E299" s="1" t="s">
        <v>67</v>
      </c>
      <c r="F299" s="5" t="str">
        <f>_xlfn.XLOOKUP(B299,'April 2025'!B:B,'April 2025'!F:F)</f>
        <v>Manufacturing</v>
      </c>
      <c r="G299" s="1">
        <v>30000</v>
      </c>
      <c r="H299" s="1">
        <v>30000</v>
      </c>
      <c r="I299" s="1">
        <v>0</v>
      </c>
      <c r="J299" s="1">
        <v>0</v>
      </c>
      <c r="K299" s="1" t="str">
        <f>_xlfn.XLOOKUP(C299,'April 2025'!C:C,'April 2025'!K:K)</f>
        <v>L-9</v>
      </c>
    </row>
    <row r="300" spans="1:11" x14ac:dyDescent="0.3">
      <c r="A300" s="1">
        <v>299</v>
      </c>
      <c r="B300" s="1">
        <v>97</v>
      </c>
      <c r="C300" s="1" t="s">
        <v>327</v>
      </c>
      <c r="D300" s="1" t="s">
        <v>564</v>
      </c>
      <c r="E300" s="1" t="s">
        <v>67</v>
      </c>
      <c r="F300" s="5" t="str">
        <f>_xlfn.XLOOKUP(B300,'April 2025'!B:B,'April 2025'!F:F)</f>
        <v>Manufacturing</v>
      </c>
      <c r="G300" s="1">
        <v>30000</v>
      </c>
      <c r="H300" s="1">
        <v>30000</v>
      </c>
      <c r="I300" s="1">
        <v>0</v>
      </c>
      <c r="J300" s="1">
        <v>0</v>
      </c>
      <c r="K300" s="1" t="str">
        <f>_xlfn.XLOOKUP(C300,'April 2025'!C:C,'April 2025'!K:K)</f>
        <v>L-9</v>
      </c>
    </row>
    <row r="301" spans="1:11" x14ac:dyDescent="0.3">
      <c r="A301" s="1">
        <v>300</v>
      </c>
      <c r="B301" s="1">
        <v>98</v>
      </c>
      <c r="C301" s="1" t="s">
        <v>328</v>
      </c>
      <c r="D301" s="1" t="s">
        <v>564</v>
      </c>
      <c r="E301" s="1" t="s">
        <v>67</v>
      </c>
      <c r="F301" s="5" t="str">
        <f>_xlfn.XLOOKUP(B301,'April 2025'!B:B,'April 2025'!F:F)</f>
        <v>Manufacturing</v>
      </c>
      <c r="G301" s="1">
        <v>30000</v>
      </c>
      <c r="H301" s="1">
        <v>30000</v>
      </c>
      <c r="I301" s="1">
        <v>0</v>
      </c>
      <c r="J301" s="1">
        <v>0</v>
      </c>
      <c r="K301" s="1" t="str">
        <f>_xlfn.XLOOKUP(C301,'April 2025'!C:C,'April 2025'!K:K)</f>
        <v>L-9</v>
      </c>
    </row>
    <row r="302" spans="1:11" x14ac:dyDescent="0.3">
      <c r="A302" s="1">
        <v>301</v>
      </c>
      <c r="B302" s="1">
        <v>99</v>
      </c>
      <c r="C302" s="1" t="s">
        <v>329</v>
      </c>
      <c r="D302" s="1" t="s">
        <v>564</v>
      </c>
      <c r="E302" s="1" t="s">
        <v>67</v>
      </c>
      <c r="F302" s="5" t="str">
        <f>_xlfn.XLOOKUP(B302,'April 2025'!B:B,'April 2025'!F:F)</f>
        <v>Manufacturing</v>
      </c>
      <c r="G302" s="1">
        <v>30000</v>
      </c>
      <c r="H302" s="1">
        <v>30000</v>
      </c>
      <c r="I302" s="1">
        <v>0</v>
      </c>
      <c r="J302" s="1">
        <v>0</v>
      </c>
      <c r="K302" s="1" t="str">
        <f>_xlfn.XLOOKUP(C302,'April 2025'!C:C,'April 2025'!K:K)</f>
        <v>L-9</v>
      </c>
    </row>
    <row r="303" spans="1:11" x14ac:dyDescent="0.3">
      <c r="A303" s="1">
        <v>302</v>
      </c>
      <c r="B303" s="1">
        <v>10167</v>
      </c>
      <c r="C303" s="1" t="s">
        <v>330</v>
      </c>
      <c r="D303" s="1" t="s">
        <v>565</v>
      </c>
      <c r="E303" s="1" t="s">
        <v>331</v>
      </c>
      <c r="F303" s="5" t="str">
        <f>_xlfn.XLOOKUP(B303,'April 2025'!B:B,'April 2025'!F:F)</f>
        <v>Manufacturing</v>
      </c>
      <c r="G303" s="1">
        <v>13000</v>
      </c>
      <c r="H303" s="1">
        <v>13000</v>
      </c>
      <c r="I303" s="1">
        <v>0</v>
      </c>
      <c r="J303" s="1">
        <v>0</v>
      </c>
      <c r="K303" s="1" t="str">
        <f>_xlfn.XLOOKUP(C303,'April 2025'!C:C,'April 2025'!K:K)</f>
        <v>L-9</v>
      </c>
    </row>
    <row r="304" spans="1:11" x14ac:dyDescent="0.3">
      <c r="A304" s="1">
        <v>303</v>
      </c>
      <c r="B304" s="1">
        <v>10168</v>
      </c>
      <c r="C304" s="1" t="s">
        <v>332</v>
      </c>
      <c r="D304" s="1" t="s">
        <v>565</v>
      </c>
      <c r="E304" s="1" t="s">
        <v>10</v>
      </c>
      <c r="F304" s="5" t="str">
        <f>_xlfn.XLOOKUP(B304,'April 2025'!B:B,'April 2025'!F:F)</f>
        <v>Manufacturing</v>
      </c>
      <c r="G304" s="1">
        <v>25000</v>
      </c>
      <c r="H304" s="1">
        <v>25000</v>
      </c>
      <c r="I304" s="1">
        <v>0</v>
      </c>
      <c r="J304" s="1">
        <v>0</v>
      </c>
      <c r="K304" s="1" t="str">
        <f>_xlfn.XLOOKUP(C304,'April 2025'!C:C,'April 2025'!K:K)</f>
        <v>L-8</v>
      </c>
    </row>
    <row r="305" spans="1:11" x14ac:dyDescent="0.3">
      <c r="A305" s="1">
        <v>304</v>
      </c>
      <c r="B305" s="1">
        <v>10169</v>
      </c>
      <c r="C305" s="1" t="s">
        <v>333</v>
      </c>
      <c r="D305" s="1" t="s">
        <v>565</v>
      </c>
      <c r="E305" s="1" t="s">
        <v>35</v>
      </c>
      <c r="F305" s="5" t="s">
        <v>501</v>
      </c>
      <c r="G305" s="1">
        <v>12000</v>
      </c>
      <c r="H305" s="1">
        <v>12000</v>
      </c>
      <c r="I305" s="1">
        <v>0</v>
      </c>
      <c r="J305" s="1">
        <v>0</v>
      </c>
      <c r="K305" s="1" t="s">
        <v>556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9EE6FA-77DF-4650-936A-6A00DA2E8459}">
          <x14:formula1>
            <xm:f>'Data Validation'!$K$1:$K$11</xm:f>
          </x14:formula1>
          <xm:sqref>K1:K1048576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674BD-8897-4BE7-831E-0A2DBAF3C9D1}">
  <dimension ref="A1:K321"/>
  <sheetViews>
    <sheetView topLeftCell="B1" zoomScaleNormal="100" workbookViewId="0">
      <selection activeCell="E334" sqref="E334"/>
    </sheetView>
  </sheetViews>
  <sheetFormatPr defaultRowHeight="14.4" x14ac:dyDescent="0.3"/>
  <cols>
    <col min="1" max="3" width="23.6640625" customWidth="1"/>
    <col min="5" max="5" width="27.109375" bestFit="1" customWidth="1"/>
    <col min="6" max="6" width="14.21875" bestFit="1" customWidth="1"/>
    <col min="7" max="7" width="23.6640625" customWidth="1"/>
    <col min="8" max="8" width="12.5546875" bestFit="1" customWidth="1"/>
    <col min="9" max="9" width="10.88671875" bestFit="1" customWidth="1"/>
    <col min="10" max="10" width="11.33203125" bestFit="1" customWidth="1"/>
    <col min="11" max="11" width="13.554687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10" t="s">
        <v>569</v>
      </c>
      <c r="E1" s="2" t="s">
        <v>4</v>
      </c>
      <c r="F1" s="2" t="s">
        <v>3</v>
      </c>
      <c r="G1" s="2" t="s">
        <v>5</v>
      </c>
      <c r="H1" s="2" t="s">
        <v>6</v>
      </c>
      <c r="I1" s="2" t="s">
        <v>562</v>
      </c>
      <c r="J1" s="2" t="s">
        <v>563</v>
      </c>
      <c r="K1" s="2" t="s">
        <v>559</v>
      </c>
    </row>
    <row r="2" spans="1:11" x14ac:dyDescent="0.3">
      <c r="A2" s="1">
        <v>1</v>
      </c>
      <c r="B2" s="1">
        <v>1</v>
      </c>
      <c r="C2" s="5" t="s">
        <v>7</v>
      </c>
      <c r="D2" s="1" t="s">
        <v>564</v>
      </c>
      <c r="E2" s="8" t="s">
        <v>8</v>
      </c>
      <c r="F2" s="5" t="str">
        <f>_xlfn.XLOOKUP(B2,'May 2025'!B:B,'June 2025'!F:F)</f>
        <v>Manufacturing</v>
      </c>
      <c r="G2" s="1">
        <v>10300</v>
      </c>
      <c r="H2" s="1">
        <v>9142</v>
      </c>
      <c r="I2" s="1">
        <v>1170</v>
      </c>
      <c r="J2" s="1">
        <v>335</v>
      </c>
      <c r="K2" s="8" t="str">
        <f>_xlfn.XLOOKUP(B2,'May 2025'!B:B,'May 2025'!K:K)</f>
        <v>L-9</v>
      </c>
    </row>
    <row r="3" spans="1:11" x14ac:dyDescent="0.3">
      <c r="A3" s="1">
        <v>2</v>
      </c>
      <c r="B3" s="1">
        <v>2</v>
      </c>
      <c r="C3" s="5" t="s">
        <v>9</v>
      </c>
      <c r="D3" s="1" t="s">
        <v>564</v>
      </c>
      <c r="E3" s="8" t="s">
        <v>10</v>
      </c>
      <c r="F3" s="5" t="str">
        <f>_xlfn.XLOOKUP(B3,'May 2025'!B:B,'June 2025'!F:F)</f>
        <v>Domestic</v>
      </c>
      <c r="G3" s="1">
        <v>20500</v>
      </c>
      <c r="H3" s="1">
        <v>18870</v>
      </c>
      <c r="I3" s="1">
        <v>1599</v>
      </c>
      <c r="J3" s="1">
        <v>667</v>
      </c>
      <c r="K3" s="8" t="str">
        <f>_xlfn.XLOOKUP(B3,'May 2025'!B:B,'May 2025'!K:K)</f>
        <v>L-8</v>
      </c>
    </row>
    <row r="4" spans="1:11" x14ac:dyDescent="0.3">
      <c r="A4" s="1">
        <v>3</v>
      </c>
      <c r="B4" s="1">
        <v>3</v>
      </c>
      <c r="C4" s="5" t="s">
        <v>11</v>
      </c>
      <c r="D4" s="1" t="s">
        <v>564</v>
      </c>
      <c r="E4" s="8" t="s">
        <v>12</v>
      </c>
      <c r="F4" s="5" t="str">
        <f>_xlfn.XLOOKUP(B4,'May 2025'!B:B,'June 2025'!F:F)</f>
        <v>Manufacturing</v>
      </c>
      <c r="G4" s="1">
        <v>27500</v>
      </c>
      <c r="H4" s="1">
        <v>27500</v>
      </c>
      <c r="I4" s="1">
        <v>0</v>
      </c>
      <c r="J4" s="1">
        <v>0</v>
      </c>
      <c r="K4" s="8" t="str">
        <f>_xlfn.XLOOKUP(B4,'May 2025'!B:B,'May 2025'!K:K)</f>
        <v>L-9</v>
      </c>
    </row>
    <row r="5" spans="1:11" x14ac:dyDescent="0.3">
      <c r="A5" s="1">
        <v>4</v>
      </c>
      <c r="B5" s="1">
        <v>4</v>
      </c>
      <c r="C5" s="5" t="s">
        <v>13</v>
      </c>
      <c r="D5" s="1" t="s">
        <v>564</v>
      </c>
      <c r="E5" s="8" t="s">
        <v>10</v>
      </c>
      <c r="F5" s="5" t="str">
        <f>_xlfn.XLOOKUP(B5,'May 2025'!B:B,'June 2025'!F:F)</f>
        <v>Domestic</v>
      </c>
      <c r="G5" s="1">
        <v>20625</v>
      </c>
      <c r="H5" s="1">
        <v>18737.439999999999</v>
      </c>
      <c r="I5" s="1">
        <v>1877</v>
      </c>
      <c r="J5" s="1">
        <v>671</v>
      </c>
      <c r="K5" s="8" t="str">
        <f>_xlfn.XLOOKUP(B5,'May 2025'!B:B,'May 2025'!K:K)</f>
        <v>L-6</v>
      </c>
    </row>
    <row r="6" spans="1:11" x14ac:dyDescent="0.3">
      <c r="A6" s="1">
        <v>5</v>
      </c>
      <c r="B6" s="1">
        <v>5</v>
      </c>
      <c r="C6" s="5" t="s">
        <v>15</v>
      </c>
      <c r="D6" s="1" t="s">
        <v>564</v>
      </c>
      <c r="E6" s="8" t="s">
        <v>10</v>
      </c>
      <c r="F6" s="5" t="str">
        <f>_xlfn.XLOOKUP(B6,'May 2025'!B:B,'June 2025'!F:F)</f>
        <v>Domestic</v>
      </c>
      <c r="G6" s="1">
        <v>41950</v>
      </c>
      <c r="H6" s="1">
        <v>40150</v>
      </c>
      <c r="I6" s="1">
        <v>1950</v>
      </c>
      <c r="J6" s="1">
        <v>0</v>
      </c>
      <c r="K6" s="8" t="str">
        <f>_xlfn.XLOOKUP(B6,'May 2025'!B:B,'May 2025'!K:K)</f>
        <v>L-6</v>
      </c>
    </row>
    <row r="7" spans="1:11" x14ac:dyDescent="0.3">
      <c r="A7" s="1">
        <v>6</v>
      </c>
      <c r="B7" s="1">
        <v>6</v>
      </c>
      <c r="C7" s="5" t="s">
        <v>16</v>
      </c>
      <c r="D7" s="1" t="s">
        <v>564</v>
      </c>
      <c r="E7" s="8" t="s">
        <v>17</v>
      </c>
      <c r="F7" s="5" t="str">
        <f>_xlfn.XLOOKUP(B7,'May 2025'!B:B,'June 2025'!F:F)</f>
        <v xml:space="preserve">Admin </v>
      </c>
      <c r="G7" s="1">
        <v>62500</v>
      </c>
      <c r="H7" s="1">
        <v>62500</v>
      </c>
      <c r="I7" s="1">
        <v>0</v>
      </c>
      <c r="J7" s="1">
        <v>0</v>
      </c>
      <c r="K7" s="8" t="str">
        <f>_xlfn.XLOOKUP(B7,'May 2025'!B:B,'May 2025'!K:K)</f>
        <v>L-5</v>
      </c>
    </row>
    <row r="8" spans="1:11" x14ac:dyDescent="0.3">
      <c r="A8" s="1">
        <v>7</v>
      </c>
      <c r="B8" s="1">
        <v>7</v>
      </c>
      <c r="C8" s="5" t="s">
        <v>18</v>
      </c>
      <c r="D8" s="1" t="s">
        <v>564</v>
      </c>
      <c r="E8" s="8" t="s">
        <v>19</v>
      </c>
      <c r="F8" s="5" t="str">
        <f>_xlfn.XLOOKUP(B8,'May 2025'!B:B,'June 2025'!F:F)</f>
        <v xml:space="preserve">Admin </v>
      </c>
      <c r="G8" s="1">
        <v>48000</v>
      </c>
      <c r="H8" s="1">
        <v>48000</v>
      </c>
      <c r="I8" s="1">
        <v>0</v>
      </c>
      <c r="J8" s="1">
        <v>0</v>
      </c>
      <c r="K8" s="8" t="str">
        <f>_xlfn.XLOOKUP(B8,'May 2025'!B:B,'May 2025'!K:K)</f>
        <v>L-5</v>
      </c>
    </row>
    <row r="9" spans="1:11" x14ac:dyDescent="0.3">
      <c r="A9" s="1">
        <v>8</v>
      </c>
      <c r="B9" s="1">
        <v>8</v>
      </c>
      <c r="C9" s="5" t="s">
        <v>20</v>
      </c>
      <c r="D9" s="1" t="s">
        <v>564</v>
      </c>
      <c r="E9" s="8" t="s">
        <v>21</v>
      </c>
      <c r="F9" s="5" t="str">
        <f>_xlfn.XLOOKUP('April 2025'!C9,'January 2025'!C:C,'January 2025'!F:F)</f>
        <v>Manufacturing</v>
      </c>
      <c r="G9" s="1">
        <v>18225</v>
      </c>
      <c r="H9" s="1">
        <v>16775.8</v>
      </c>
      <c r="I9" s="1">
        <v>1422</v>
      </c>
      <c r="J9" s="1">
        <v>593</v>
      </c>
      <c r="K9" s="8" t="s">
        <v>556</v>
      </c>
    </row>
    <row r="10" spans="1:11" x14ac:dyDescent="0.3">
      <c r="A10" s="1">
        <v>9</v>
      </c>
      <c r="B10" s="1">
        <v>9</v>
      </c>
      <c r="C10" s="5" t="s">
        <v>22</v>
      </c>
      <c r="D10" s="1" t="s">
        <v>564</v>
      </c>
      <c r="E10" s="8" t="s">
        <v>23</v>
      </c>
      <c r="F10" s="5" t="str">
        <f>_xlfn.XLOOKUP(B10,'May 2025'!B:B,'June 2025'!F:F)</f>
        <v>Domestic</v>
      </c>
      <c r="G10" s="1">
        <v>14800</v>
      </c>
      <c r="H10" s="1">
        <v>13613.8</v>
      </c>
      <c r="I10" s="1">
        <v>1165</v>
      </c>
      <c r="J10" s="1">
        <v>481</v>
      </c>
      <c r="K10" s="8" t="str">
        <f>_xlfn.XLOOKUP(B10,'May 2025'!B:B,'May 2025'!K:K)</f>
        <v>L-9</v>
      </c>
    </row>
    <row r="11" spans="1:11" x14ac:dyDescent="0.3">
      <c r="A11" s="1">
        <v>10</v>
      </c>
      <c r="B11" s="1">
        <v>10</v>
      </c>
      <c r="C11" s="5" t="s">
        <v>24</v>
      </c>
      <c r="D11" s="1" t="s">
        <v>564</v>
      </c>
      <c r="E11" s="8" t="s">
        <v>10</v>
      </c>
      <c r="F11" s="5" t="str">
        <f>_xlfn.XLOOKUP('April 2025'!C11,'January 2025'!C:C,'January 2025'!F:F)</f>
        <v>Manufacturing</v>
      </c>
      <c r="G11" s="1">
        <v>34300</v>
      </c>
      <c r="H11" s="1">
        <v>34300</v>
      </c>
      <c r="I11" s="1">
        <v>0</v>
      </c>
      <c r="J11" s="1">
        <v>0</v>
      </c>
      <c r="K11" s="8" t="s">
        <v>555</v>
      </c>
    </row>
    <row r="12" spans="1:11" x14ac:dyDescent="0.3">
      <c r="A12" s="1">
        <v>11</v>
      </c>
      <c r="B12" s="1">
        <v>11</v>
      </c>
      <c r="C12" s="5" t="s">
        <v>25</v>
      </c>
      <c r="D12" s="1" t="s">
        <v>564</v>
      </c>
      <c r="E12" s="8" t="s">
        <v>26</v>
      </c>
      <c r="F12" s="5" t="str">
        <f>_xlfn.XLOOKUP(B12,'May 2025'!B:B,'June 2025'!F:F)</f>
        <v xml:space="preserve">Admin </v>
      </c>
      <c r="G12" s="1">
        <v>22000</v>
      </c>
      <c r="H12" s="1">
        <v>20200</v>
      </c>
      <c r="I12" s="1">
        <v>1950</v>
      </c>
      <c r="J12" s="1">
        <v>0</v>
      </c>
      <c r="K12" s="8" t="str">
        <f>_xlfn.XLOOKUP(B12,'May 2025'!B:B,'May 2025'!K:K)</f>
        <v>L-6</v>
      </c>
    </row>
    <row r="13" spans="1:11" x14ac:dyDescent="0.3">
      <c r="A13" s="1">
        <v>12</v>
      </c>
      <c r="B13" s="1">
        <v>16</v>
      </c>
      <c r="C13" s="5" t="s">
        <v>27</v>
      </c>
      <c r="D13" s="1" t="s">
        <v>564</v>
      </c>
      <c r="E13" s="8" t="s">
        <v>28</v>
      </c>
      <c r="F13" s="5" t="str">
        <f>_xlfn.XLOOKUP(B13,'May 2025'!B:B,'June 2025'!F:F)</f>
        <v>Domestic</v>
      </c>
      <c r="G13" s="1">
        <v>29000</v>
      </c>
      <c r="H13" s="1">
        <v>29000</v>
      </c>
      <c r="I13" s="1">
        <v>0</v>
      </c>
      <c r="J13" s="1">
        <v>0</v>
      </c>
      <c r="K13" s="8" t="str">
        <f>_xlfn.XLOOKUP(B13,'May 2025'!B:B,'May 2025'!K:K)</f>
        <v>L-9</v>
      </c>
    </row>
    <row r="14" spans="1:11" x14ac:dyDescent="0.3">
      <c r="A14" s="1">
        <v>13</v>
      </c>
      <c r="B14" s="1">
        <v>13</v>
      </c>
      <c r="C14" s="5" t="s">
        <v>29</v>
      </c>
      <c r="D14" s="1" t="s">
        <v>564</v>
      </c>
      <c r="E14" s="8" t="s">
        <v>10</v>
      </c>
      <c r="F14" s="5" t="str">
        <f>_xlfn.XLOOKUP(B14,'May 2025'!B:B,'June 2025'!F:F)</f>
        <v>Domestic</v>
      </c>
      <c r="G14" s="1">
        <v>14500</v>
      </c>
      <c r="H14" s="1">
        <v>13341</v>
      </c>
      <c r="I14" s="1">
        <v>1138</v>
      </c>
      <c r="J14" s="1">
        <v>472</v>
      </c>
      <c r="K14" s="8" t="str">
        <f>_xlfn.XLOOKUP(B14,'May 2025'!B:B,'May 2025'!K:K)</f>
        <v>L-7</v>
      </c>
    </row>
    <row r="15" spans="1:11" x14ac:dyDescent="0.3">
      <c r="A15" s="1">
        <v>14</v>
      </c>
      <c r="B15" s="1">
        <v>14</v>
      </c>
      <c r="C15" s="5" t="s">
        <v>30</v>
      </c>
      <c r="D15" s="1" t="s">
        <v>564</v>
      </c>
      <c r="E15" s="8" t="s">
        <v>31</v>
      </c>
      <c r="F15" s="5" t="str">
        <f>_xlfn.XLOOKUP(B15,'May 2025'!B:B,'June 2025'!F:F)</f>
        <v>Office Support</v>
      </c>
      <c r="G15" s="1">
        <v>15400</v>
      </c>
      <c r="H15" s="1">
        <v>14175.2</v>
      </c>
      <c r="I15" s="1">
        <v>1201</v>
      </c>
      <c r="J15" s="1">
        <v>501</v>
      </c>
      <c r="K15" s="8" t="str">
        <f>_xlfn.XLOOKUP(B15,'May 2025'!B:B,'May 2025'!K:K)</f>
        <v>L-10</v>
      </c>
    </row>
    <row r="16" spans="1:11" x14ac:dyDescent="0.3">
      <c r="A16" s="1">
        <v>15</v>
      </c>
      <c r="B16" s="1">
        <v>15</v>
      </c>
      <c r="C16" s="5" t="s">
        <v>32</v>
      </c>
      <c r="D16" s="1" t="s">
        <v>564</v>
      </c>
      <c r="E16" s="8" t="s">
        <v>33</v>
      </c>
      <c r="F16" s="5" t="str">
        <f>_xlfn.XLOOKUP(B16,'May 2025'!B:B,'June 2025'!F:F)</f>
        <v>Manufacturing</v>
      </c>
      <c r="G16" s="1">
        <v>20000</v>
      </c>
      <c r="H16" s="1">
        <v>18410</v>
      </c>
      <c r="I16" s="1">
        <v>1560</v>
      </c>
      <c r="J16" s="1">
        <v>650</v>
      </c>
      <c r="K16" s="8" t="str">
        <f>_xlfn.XLOOKUP(B16,'May 2025'!B:B,'May 2025'!K:K)</f>
        <v>L-9</v>
      </c>
    </row>
    <row r="17" spans="1:11" x14ac:dyDescent="0.3">
      <c r="A17" s="1">
        <v>16</v>
      </c>
      <c r="B17" s="1">
        <v>16</v>
      </c>
      <c r="C17" s="5" t="s">
        <v>34</v>
      </c>
      <c r="D17" s="1" t="s">
        <v>564</v>
      </c>
      <c r="E17" s="8" t="s">
        <v>35</v>
      </c>
      <c r="F17" s="5" t="str">
        <f>_xlfn.XLOOKUP(B17,'May 2025'!B:B,'June 2025'!F:F)</f>
        <v>Domestic</v>
      </c>
      <c r="G17" s="1">
        <v>14063</v>
      </c>
      <c r="H17" s="1">
        <v>12775.708000000001</v>
      </c>
      <c r="I17" s="1">
        <v>1280</v>
      </c>
      <c r="J17" s="1">
        <v>458</v>
      </c>
      <c r="K17" s="8" t="str">
        <f>_xlfn.XLOOKUP(B17,'May 2025'!B:B,'May 2025'!K:K)</f>
        <v>L-9</v>
      </c>
    </row>
    <row r="18" spans="1:11" x14ac:dyDescent="0.3">
      <c r="A18" s="1">
        <v>17</v>
      </c>
      <c r="B18" s="1">
        <v>17</v>
      </c>
      <c r="C18" s="5" t="s">
        <v>36</v>
      </c>
      <c r="D18" s="1" t="s">
        <v>564</v>
      </c>
      <c r="E18" s="8" t="s">
        <v>21</v>
      </c>
      <c r="F18" s="5" t="str">
        <f>_xlfn.XLOOKUP(B18,'May 2025'!B:B,'June 2025'!F:F)</f>
        <v>Manufacturing</v>
      </c>
      <c r="G18" s="1">
        <v>17500</v>
      </c>
      <c r="H18" s="1">
        <v>16108</v>
      </c>
      <c r="I18" s="1">
        <v>1365</v>
      </c>
      <c r="J18" s="1">
        <v>569</v>
      </c>
      <c r="K18" s="8" t="str">
        <f>_xlfn.XLOOKUP(B18,'May 2025'!B:B,'May 2025'!K:K)</f>
        <v>L-9</v>
      </c>
    </row>
    <row r="19" spans="1:11" x14ac:dyDescent="0.3">
      <c r="A19" s="1">
        <v>18</v>
      </c>
      <c r="B19" s="1">
        <v>18</v>
      </c>
      <c r="C19" s="5" t="s">
        <v>37</v>
      </c>
      <c r="D19" s="1" t="s">
        <v>564</v>
      </c>
      <c r="E19" s="8" t="s">
        <v>10</v>
      </c>
      <c r="F19" s="5" t="str">
        <f>_xlfn.XLOOKUP('April 2025'!C19,'January 2025'!C:C,'January 2025'!F:F)</f>
        <v>Manufacturing</v>
      </c>
      <c r="G19" s="1">
        <v>17000</v>
      </c>
      <c r="H19" s="1">
        <v>15648</v>
      </c>
      <c r="I19" s="1">
        <v>1326</v>
      </c>
      <c r="J19" s="1">
        <v>553</v>
      </c>
      <c r="K19" s="8" t="s">
        <v>555</v>
      </c>
    </row>
    <row r="20" spans="1:11" x14ac:dyDescent="0.3">
      <c r="A20" s="1">
        <v>19</v>
      </c>
      <c r="B20" s="1">
        <v>19</v>
      </c>
      <c r="C20" s="5" t="s">
        <v>38</v>
      </c>
      <c r="D20" s="1" t="s">
        <v>564</v>
      </c>
      <c r="E20" s="8" t="s">
        <v>35</v>
      </c>
      <c r="F20" s="5" t="str">
        <f>_xlfn.XLOOKUP(B20,'May 2025'!B:B,'June 2025'!F:F)</f>
        <v>Manufacturing</v>
      </c>
      <c r="G20" s="1">
        <v>15300</v>
      </c>
      <c r="H20" s="1">
        <v>14083.4</v>
      </c>
      <c r="I20" s="1">
        <v>1193</v>
      </c>
      <c r="J20" s="1">
        <v>498</v>
      </c>
      <c r="K20" s="8" t="str">
        <f>_xlfn.XLOOKUP(B20,'May 2025'!B:B,'May 2025'!K:K)</f>
        <v>L-9</v>
      </c>
    </row>
    <row r="21" spans="1:11" x14ac:dyDescent="0.3">
      <c r="A21" s="1">
        <v>20</v>
      </c>
      <c r="B21" s="1">
        <v>20</v>
      </c>
      <c r="C21" s="5" t="s">
        <v>39</v>
      </c>
      <c r="D21" s="1" t="s">
        <v>564</v>
      </c>
      <c r="E21" s="8" t="s">
        <v>35</v>
      </c>
      <c r="F21" s="5" t="str">
        <f>_xlfn.XLOOKUP(B21,'May 2025'!B:B,'June 2025'!F:F)</f>
        <v>Manufacturing</v>
      </c>
      <c r="G21" s="1">
        <v>14500</v>
      </c>
      <c r="H21" s="1">
        <v>13173</v>
      </c>
      <c r="I21" s="1">
        <v>1320</v>
      </c>
      <c r="J21" s="1">
        <v>472</v>
      </c>
      <c r="K21" s="8" t="str">
        <f>_xlfn.XLOOKUP(B21,'May 2025'!B:B,'May 2025'!K:K)</f>
        <v>L-9</v>
      </c>
    </row>
    <row r="22" spans="1:11" x14ac:dyDescent="0.3">
      <c r="A22" s="1">
        <v>21</v>
      </c>
      <c r="B22" s="1">
        <v>21</v>
      </c>
      <c r="C22" s="5" t="s">
        <v>40</v>
      </c>
      <c r="D22" s="1" t="s">
        <v>564</v>
      </c>
      <c r="E22" s="8" t="s">
        <v>41</v>
      </c>
      <c r="F22" s="5" t="str">
        <f>_xlfn.XLOOKUP(B22,'May 2025'!B:B,'June 2025'!F:F)</f>
        <v>Manufacturing</v>
      </c>
      <c r="G22" s="1">
        <v>22000</v>
      </c>
      <c r="H22" s="1">
        <v>20416</v>
      </c>
      <c r="I22" s="1">
        <v>1716</v>
      </c>
      <c r="J22" s="1">
        <v>0</v>
      </c>
      <c r="K22" s="8" t="str">
        <f>_xlfn.XLOOKUP(B22,'May 2025'!B:B,'May 2025'!K:K)</f>
        <v>L-8</v>
      </c>
    </row>
    <row r="23" spans="1:11" x14ac:dyDescent="0.3">
      <c r="A23" s="1">
        <v>22</v>
      </c>
      <c r="B23" s="1">
        <v>22</v>
      </c>
      <c r="C23" s="5" t="s">
        <v>282</v>
      </c>
      <c r="D23" s="1" t="s">
        <v>564</v>
      </c>
      <c r="E23" s="8" t="s">
        <v>42</v>
      </c>
      <c r="F23" s="5" t="str">
        <f>_xlfn.XLOOKUP(B23,'May 2025'!B:B,'June 2025'!F:F)</f>
        <v>Domestic</v>
      </c>
      <c r="G23" s="1">
        <v>68200</v>
      </c>
      <c r="H23" s="1">
        <v>66400</v>
      </c>
      <c r="I23" s="1">
        <v>1950</v>
      </c>
      <c r="J23" s="1">
        <v>0</v>
      </c>
      <c r="K23" s="8" t="str">
        <f>_xlfn.XLOOKUP(B23,'May 2025'!B:B,'May 2025'!K:K)</f>
        <v>L-5</v>
      </c>
    </row>
    <row r="24" spans="1:11" x14ac:dyDescent="0.3">
      <c r="A24" s="1">
        <v>23</v>
      </c>
      <c r="B24" s="1">
        <v>23</v>
      </c>
      <c r="C24" s="5" t="s">
        <v>43</v>
      </c>
      <c r="D24" s="1" t="s">
        <v>564</v>
      </c>
      <c r="E24" s="8" t="s">
        <v>12</v>
      </c>
      <c r="F24" s="5" t="str">
        <f>_xlfn.XLOOKUP('April 2025'!C24,'January 2025'!C:C,'January 2025'!F:F)</f>
        <v>Manufacturing</v>
      </c>
      <c r="G24" s="1">
        <v>26000</v>
      </c>
      <c r="H24" s="1">
        <v>24284</v>
      </c>
      <c r="I24" s="1">
        <v>1859</v>
      </c>
      <c r="J24" s="1">
        <v>0</v>
      </c>
      <c r="K24" s="8" t="s">
        <v>556</v>
      </c>
    </row>
    <row r="25" spans="1:11" x14ac:dyDescent="0.3">
      <c r="A25" s="1">
        <v>24</v>
      </c>
      <c r="B25" s="1">
        <v>24</v>
      </c>
      <c r="C25" s="5" t="s">
        <v>44</v>
      </c>
      <c r="D25" s="1" t="s">
        <v>564</v>
      </c>
      <c r="E25" s="8" t="s">
        <v>10</v>
      </c>
      <c r="F25" s="5" t="str">
        <f>_xlfn.XLOOKUP(B25,'May 2025'!B:B,'June 2025'!F:F)</f>
        <v>Domestic</v>
      </c>
      <c r="G25" s="1">
        <v>14000</v>
      </c>
      <c r="H25" s="1">
        <v>12702.2</v>
      </c>
      <c r="I25" s="1">
        <v>1292</v>
      </c>
      <c r="J25" s="1">
        <v>455</v>
      </c>
      <c r="K25" s="8" t="str">
        <f>_xlfn.XLOOKUP(B25,'May 2025'!B:B,'May 2025'!K:K)</f>
        <v>L-8</v>
      </c>
    </row>
    <row r="26" spans="1:11" x14ac:dyDescent="0.3">
      <c r="A26" s="1">
        <v>25</v>
      </c>
      <c r="B26" s="1">
        <v>30</v>
      </c>
      <c r="C26" s="5" t="s">
        <v>45</v>
      </c>
      <c r="D26" s="1" t="s">
        <v>564</v>
      </c>
      <c r="E26" s="8" t="s">
        <v>41</v>
      </c>
      <c r="F26" s="5" t="str">
        <f>_xlfn.XLOOKUP('April 2025'!C26,'January 2025'!C:C,'January 2025'!F:F)</f>
        <v>Manufacturing</v>
      </c>
      <c r="G26" s="1">
        <v>28000</v>
      </c>
      <c r="H26" s="1">
        <v>28000</v>
      </c>
      <c r="I26" s="1">
        <v>0</v>
      </c>
      <c r="J26" s="1">
        <v>0</v>
      </c>
      <c r="K26" s="8" t="s">
        <v>555</v>
      </c>
    </row>
    <row r="27" spans="1:11" x14ac:dyDescent="0.3">
      <c r="A27" s="1">
        <v>26</v>
      </c>
      <c r="B27" s="1">
        <v>31</v>
      </c>
      <c r="C27" s="5" t="s">
        <v>46</v>
      </c>
      <c r="D27" s="1" t="s">
        <v>564</v>
      </c>
      <c r="E27" s="8" t="s">
        <v>47</v>
      </c>
      <c r="F27" s="5" t="str">
        <f>_xlfn.XLOOKUP('April 2025'!C27,'January 2025'!C:C,'January 2025'!F:F)</f>
        <v>D2C</v>
      </c>
      <c r="G27" s="1">
        <v>40000</v>
      </c>
      <c r="H27" s="1">
        <v>40000</v>
      </c>
      <c r="I27" s="1">
        <v>0</v>
      </c>
      <c r="J27" s="1">
        <v>0</v>
      </c>
      <c r="K27" s="8" t="s">
        <v>553</v>
      </c>
    </row>
    <row r="28" spans="1:11" x14ac:dyDescent="0.3">
      <c r="A28" s="1">
        <v>27</v>
      </c>
      <c r="B28" s="1">
        <v>27</v>
      </c>
      <c r="C28" s="5" t="s">
        <v>48</v>
      </c>
      <c r="D28" s="1" t="s">
        <v>564</v>
      </c>
      <c r="E28" s="8" t="s">
        <v>10</v>
      </c>
      <c r="F28" s="5" t="str">
        <f>_xlfn.XLOOKUP(B28,'May 2025'!B:B,'June 2025'!F:F)</f>
        <v>Domestic</v>
      </c>
      <c r="G28" s="1">
        <v>20625</v>
      </c>
      <c r="H28" s="1">
        <v>18737.439999999999</v>
      </c>
      <c r="I28" s="1">
        <v>1877</v>
      </c>
      <c r="J28" s="1">
        <v>671</v>
      </c>
      <c r="K28" s="8" t="str">
        <f>_xlfn.XLOOKUP(B28,'May 2025'!B:B,'May 2025'!K:K)</f>
        <v>L-6</v>
      </c>
    </row>
    <row r="29" spans="1:11" x14ac:dyDescent="0.3">
      <c r="A29" s="1">
        <v>28</v>
      </c>
      <c r="B29" s="1">
        <v>33</v>
      </c>
      <c r="C29" s="5" t="s">
        <v>49</v>
      </c>
      <c r="D29" s="1" t="s">
        <v>564</v>
      </c>
      <c r="E29" s="8" t="s">
        <v>50</v>
      </c>
      <c r="F29" s="5" t="str">
        <f>_xlfn.XLOOKUP(B29,'May 2025'!B:B,'June 2025'!F:F)</f>
        <v>D2C</v>
      </c>
      <c r="G29" s="1">
        <v>80000</v>
      </c>
      <c r="H29" s="1">
        <v>78200</v>
      </c>
      <c r="I29" s="1">
        <v>1950</v>
      </c>
      <c r="J29" s="1">
        <v>0</v>
      </c>
      <c r="K29" s="8" t="str">
        <f>_xlfn.XLOOKUP(B29,'May 2025'!B:B,'May 2025'!K:K)</f>
        <v>L-6</v>
      </c>
    </row>
    <row r="30" spans="1:11" x14ac:dyDescent="0.3">
      <c r="A30" s="1">
        <v>29</v>
      </c>
      <c r="B30" s="1">
        <v>29</v>
      </c>
      <c r="C30" s="5" t="s">
        <v>51</v>
      </c>
      <c r="D30" s="1" t="s">
        <v>564</v>
      </c>
      <c r="E30" s="8" t="s">
        <v>42</v>
      </c>
      <c r="F30" s="5" t="str">
        <f>_xlfn.XLOOKUP(B30,'May 2025'!B:B,'June 2025'!F:F)</f>
        <v>D2C</v>
      </c>
      <c r="G30" s="1">
        <v>79450</v>
      </c>
      <c r="H30" s="1">
        <v>77650</v>
      </c>
      <c r="I30" s="1">
        <v>1950</v>
      </c>
      <c r="J30" s="1">
        <v>0</v>
      </c>
      <c r="K30" s="8" t="str">
        <f>_xlfn.XLOOKUP(B30,'May 2025'!B:B,'May 2025'!K:K)</f>
        <v>L-5</v>
      </c>
    </row>
    <row r="31" spans="1:11" x14ac:dyDescent="0.3">
      <c r="A31" s="1">
        <v>30</v>
      </c>
      <c r="B31" s="1">
        <v>19</v>
      </c>
      <c r="C31" s="5" t="s">
        <v>52</v>
      </c>
      <c r="D31" s="1" t="s">
        <v>564</v>
      </c>
      <c r="E31" s="8" t="s">
        <v>53</v>
      </c>
      <c r="F31" s="5" t="str">
        <f>_xlfn.XLOOKUP(B31,'May 2025'!B:B,'June 2025'!F:F)</f>
        <v>Manufacturing</v>
      </c>
      <c r="G31" s="1">
        <v>11000</v>
      </c>
      <c r="H31" s="1">
        <v>9837</v>
      </c>
      <c r="I31" s="1">
        <v>1170</v>
      </c>
      <c r="J31" s="1">
        <v>358</v>
      </c>
      <c r="K31" s="8" t="str">
        <f>_xlfn.XLOOKUP(B31,'May 2025'!B:B,'May 2025'!K:K)</f>
        <v>L-9</v>
      </c>
    </row>
    <row r="32" spans="1:11" x14ac:dyDescent="0.3">
      <c r="A32" s="1">
        <v>31</v>
      </c>
      <c r="B32" s="1">
        <v>31</v>
      </c>
      <c r="C32" s="5" t="s">
        <v>54</v>
      </c>
      <c r="D32" s="1" t="s">
        <v>564</v>
      </c>
      <c r="E32" s="8" t="s">
        <v>55</v>
      </c>
      <c r="F32" s="5" t="str">
        <f>_xlfn.XLOOKUP('April 2025'!C32,'January 2025'!C:C,'January 2025'!F:F)</f>
        <v>Manufacturing</v>
      </c>
      <c r="G32" s="1">
        <v>15000</v>
      </c>
      <c r="H32" s="1">
        <v>13663</v>
      </c>
      <c r="I32" s="1">
        <v>1326</v>
      </c>
      <c r="J32" s="1">
        <v>488</v>
      </c>
      <c r="K32" s="8" t="s">
        <v>554</v>
      </c>
    </row>
    <row r="33" spans="1:11" x14ac:dyDescent="0.3">
      <c r="A33" s="1">
        <v>32</v>
      </c>
      <c r="B33" s="1">
        <v>32</v>
      </c>
      <c r="C33" s="5" t="s">
        <v>56</v>
      </c>
      <c r="D33" s="1" t="s">
        <v>564</v>
      </c>
      <c r="E33" s="8" t="s">
        <v>41</v>
      </c>
      <c r="F33" s="5" t="str">
        <f>_xlfn.XLOOKUP(B33,'May 2025'!B:B,'June 2025'!F:F)</f>
        <v>Manufacturing</v>
      </c>
      <c r="G33" s="1">
        <v>25000</v>
      </c>
      <c r="H33" s="1">
        <v>25000</v>
      </c>
      <c r="I33" s="1">
        <v>0</v>
      </c>
      <c r="J33" s="1">
        <v>0</v>
      </c>
      <c r="K33" s="8" t="str">
        <f>_xlfn.XLOOKUP(B33,'May 2025'!B:B,'May 2025'!K:K)</f>
        <v>L-8</v>
      </c>
    </row>
    <row r="34" spans="1:11" x14ac:dyDescent="0.3">
      <c r="A34" s="1">
        <v>33</v>
      </c>
      <c r="B34" s="1">
        <v>33</v>
      </c>
      <c r="C34" s="5" t="s">
        <v>57</v>
      </c>
      <c r="D34" s="1" t="s">
        <v>564</v>
      </c>
      <c r="E34" s="8" t="s">
        <v>58</v>
      </c>
      <c r="F34" s="5" t="str">
        <f>_xlfn.XLOOKUP(B34,'May 2025'!B:B,'June 2025'!F:F)</f>
        <v>D2C</v>
      </c>
      <c r="G34" s="1">
        <v>37000</v>
      </c>
      <c r="H34" s="1">
        <v>37000</v>
      </c>
      <c r="I34" s="1">
        <v>0</v>
      </c>
      <c r="J34" s="1">
        <v>0</v>
      </c>
      <c r="K34" s="8" t="str">
        <f>_xlfn.XLOOKUP(B34,'May 2025'!B:B,'May 2025'!K:K)</f>
        <v>L-6</v>
      </c>
    </row>
    <row r="35" spans="1:11" x14ac:dyDescent="0.3">
      <c r="A35" s="1">
        <v>34</v>
      </c>
      <c r="B35" s="1">
        <v>37</v>
      </c>
      <c r="C35" s="5" t="s">
        <v>59</v>
      </c>
      <c r="D35" s="1" t="s">
        <v>564</v>
      </c>
      <c r="E35" s="8" t="s">
        <v>41</v>
      </c>
      <c r="F35" s="5" t="str">
        <f>_xlfn.XLOOKUP(B35,'May 2025'!B:B,'June 2025'!F:F)</f>
        <v>Overseas</v>
      </c>
      <c r="G35" s="1">
        <v>18000</v>
      </c>
      <c r="H35" s="1">
        <v>16353</v>
      </c>
      <c r="I35" s="1">
        <v>1638</v>
      </c>
      <c r="J35" s="1">
        <v>585</v>
      </c>
      <c r="K35" s="8" t="str">
        <f>_xlfn.XLOOKUP(B35,'May 2025'!B:B,'May 2025'!K:K)</f>
        <v>L-6</v>
      </c>
    </row>
    <row r="36" spans="1:11" x14ac:dyDescent="0.3">
      <c r="A36" s="1">
        <v>35</v>
      </c>
      <c r="B36" s="1">
        <v>35</v>
      </c>
      <c r="C36" s="5" t="s">
        <v>60</v>
      </c>
      <c r="D36" s="1" t="s">
        <v>564</v>
      </c>
      <c r="E36" s="8" t="s">
        <v>61</v>
      </c>
      <c r="F36" s="5" t="str">
        <f>_xlfn.XLOOKUP('April 2025'!C36,'January 2025'!C:C,'January 2025'!F:F)</f>
        <v>Manufacturing</v>
      </c>
      <c r="G36" s="1">
        <v>13500</v>
      </c>
      <c r="H36" s="1">
        <v>12264</v>
      </c>
      <c r="I36" s="1">
        <v>1229</v>
      </c>
      <c r="J36" s="1">
        <v>439</v>
      </c>
      <c r="K36" s="8" t="s">
        <v>556</v>
      </c>
    </row>
    <row r="37" spans="1:11" x14ac:dyDescent="0.3">
      <c r="A37" s="1">
        <v>36</v>
      </c>
      <c r="B37" s="1">
        <v>39</v>
      </c>
      <c r="C37" s="5" t="s">
        <v>62</v>
      </c>
      <c r="D37" s="1" t="s">
        <v>564</v>
      </c>
      <c r="E37" s="8" t="s">
        <v>35</v>
      </c>
      <c r="F37" s="5" t="str">
        <f>_xlfn.XLOOKUP(B37,'May 2025'!B:B,'June 2025'!F:F)</f>
        <v>Manufacturing</v>
      </c>
      <c r="G37" s="1">
        <v>12500</v>
      </c>
      <c r="H37" s="1">
        <v>11356</v>
      </c>
      <c r="I37" s="1">
        <v>1138</v>
      </c>
      <c r="J37" s="1">
        <v>407</v>
      </c>
      <c r="K37" s="8" t="str">
        <f>_xlfn.XLOOKUP(B37,'May 2025'!B:B,'May 2025'!K:K)</f>
        <v>L-9</v>
      </c>
    </row>
    <row r="38" spans="1:11" x14ac:dyDescent="0.3">
      <c r="A38" s="1">
        <v>37</v>
      </c>
      <c r="B38" s="1">
        <v>37</v>
      </c>
      <c r="C38" s="5" t="s">
        <v>63</v>
      </c>
      <c r="D38" s="1" t="s">
        <v>564</v>
      </c>
      <c r="E38" s="8" t="s">
        <v>64</v>
      </c>
      <c r="F38" s="5" t="str">
        <f>_xlfn.XLOOKUP(B38,'May 2025'!B:B,'June 2025'!F:F)</f>
        <v>Overseas</v>
      </c>
      <c r="G38" s="1">
        <v>40000</v>
      </c>
      <c r="H38" s="1">
        <v>40000</v>
      </c>
      <c r="I38" s="1">
        <v>0</v>
      </c>
      <c r="J38" s="1">
        <v>0</v>
      </c>
      <c r="K38" s="8" t="str">
        <f>_xlfn.XLOOKUP(B38,'May 2025'!B:B,'May 2025'!K:K)</f>
        <v>L-6</v>
      </c>
    </row>
    <row r="39" spans="1:11" x14ac:dyDescent="0.3">
      <c r="A39" s="1">
        <v>38</v>
      </c>
      <c r="B39" s="1">
        <v>38</v>
      </c>
      <c r="C39" s="5" t="s">
        <v>65</v>
      </c>
      <c r="D39" s="1" t="s">
        <v>564</v>
      </c>
      <c r="E39" s="8" t="s">
        <v>558</v>
      </c>
      <c r="F39" s="5" t="str">
        <f>_xlfn.XLOOKUP(B39,'May 2025'!B:B,'June 2025'!F:F)</f>
        <v xml:space="preserve">Admin </v>
      </c>
      <c r="G39" s="1">
        <v>41000</v>
      </c>
      <c r="H39" s="1">
        <v>41000</v>
      </c>
      <c r="I39" s="1">
        <v>0</v>
      </c>
      <c r="J39" s="1">
        <v>0</v>
      </c>
      <c r="K39" s="8" t="str">
        <f>_xlfn.XLOOKUP(B39,'May 2025'!B:B,'May 2025'!K:K)</f>
        <v>L-5</v>
      </c>
    </row>
    <row r="40" spans="1:11" x14ac:dyDescent="0.3">
      <c r="A40" s="1">
        <v>39</v>
      </c>
      <c r="B40" s="1">
        <v>39</v>
      </c>
      <c r="C40" s="5" t="s">
        <v>66</v>
      </c>
      <c r="D40" s="1" t="s">
        <v>564</v>
      </c>
      <c r="E40" s="8" t="s">
        <v>67</v>
      </c>
      <c r="F40" s="5" t="str">
        <f>_xlfn.XLOOKUP(B40,'May 2025'!B:B,'June 2025'!F:F)</f>
        <v>Manufacturing</v>
      </c>
      <c r="G40" s="1">
        <v>30000</v>
      </c>
      <c r="H40" s="1">
        <v>30000</v>
      </c>
      <c r="I40" s="1">
        <v>0</v>
      </c>
      <c r="J40" s="1">
        <v>0</v>
      </c>
      <c r="K40" s="8" t="str">
        <f>_xlfn.XLOOKUP(B40,'May 2025'!B:B,'May 2025'!K:K)</f>
        <v>L-9</v>
      </c>
    </row>
    <row r="41" spans="1:11" x14ac:dyDescent="0.3">
      <c r="A41" s="1">
        <v>40</v>
      </c>
      <c r="B41" s="1">
        <v>40</v>
      </c>
      <c r="C41" s="5" t="s">
        <v>68</v>
      </c>
      <c r="D41" s="1" t="s">
        <v>564</v>
      </c>
      <c r="E41" s="8" t="s">
        <v>67</v>
      </c>
      <c r="F41" s="5" t="str">
        <f>_xlfn.XLOOKUP(B41,'May 2025'!B:B,'June 2025'!F:F)</f>
        <v>Manufacturing</v>
      </c>
      <c r="G41" s="1">
        <v>30000</v>
      </c>
      <c r="H41" s="1">
        <v>30000</v>
      </c>
      <c r="I41" s="1">
        <v>0</v>
      </c>
      <c r="J41" s="1">
        <v>0</v>
      </c>
      <c r="K41" s="8" t="str">
        <f>_xlfn.XLOOKUP(B41,'May 2025'!B:B,'May 2025'!K:K)</f>
        <v>L-9</v>
      </c>
    </row>
    <row r="42" spans="1:11" x14ac:dyDescent="0.3">
      <c r="A42" s="1">
        <v>41</v>
      </c>
      <c r="B42" s="1">
        <v>41</v>
      </c>
      <c r="C42" s="5" t="s">
        <v>69</v>
      </c>
      <c r="D42" s="1" t="s">
        <v>564</v>
      </c>
      <c r="E42" s="8" t="s">
        <v>67</v>
      </c>
      <c r="F42" s="5" t="str">
        <f>_xlfn.XLOOKUP(B42,'May 2025'!B:B,'June 2025'!F:F)</f>
        <v>Manufacturing</v>
      </c>
      <c r="G42" s="1">
        <v>30000</v>
      </c>
      <c r="H42" s="1">
        <v>30000</v>
      </c>
      <c r="I42" s="1">
        <v>0</v>
      </c>
      <c r="J42" s="1">
        <v>0</v>
      </c>
      <c r="K42" s="8" t="str">
        <f>_xlfn.XLOOKUP(B42,'May 2025'!B:B,'May 2025'!K:K)</f>
        <v>L-9</v>
      </c>
    </row>
    <row r="43" spans="1:11" x14ac:dyDescent="0.3">
      <c r="A43" s="1">
        <v>42</v>
      </c>
      <c r="B43" s="1">
        <v>42</v>
      </c>
      <c r="C43" s="5" t="s">
        <v>70</v>
      </c>
      <c r="D43" s="1" t="s">
        <v>564</v>
      </c>
      <c r="E43" s="8" t="s">
        <v>67</v>
      </c>
      <c r="F43" s="5" t="str">
        <f>_xlfn.XLOOKUP(B43,'May 2025'!B:B,'June 2025'!F:F)</f>
        <v>Manufacturing</v>
      </c>
      <c r="G43" s="1">
        <v>30000</v>
      </c>
      <c r="H43" s="1">
        <v>30000</v>
      </c>
      <c r="I43" s="1">
        <v>0</v>
      </c>
      <c r="J43" s="1">
        <v>0</v>
      </c>
      <c r="K43" s="8" t="str">
        <f>_xlfn.XLOOKUP(B43,'May 2025'!B:B,'May 2025'!K:K)</f>
        <v>L-9</v>
      </c>
    </row>
    <row r="44" spans="1:11" x14ac:dyDescent="0.3">
      <c r="A44" s="1">
        <v>43</v>
      </c>
      <c r="B44" s="1">
        <v>43</v>
      </c>
      <c r="C44" s="5" t="s">
        <v>71</v>
      </c>
      <c r="D44" s="1" t="s">
        <v>564</v>
      </c>
      <c r="E44" s="8" t="s">
        <v>67</v>
      </c>
      <c r="F44" s="5" t="str">
        <f>_xlfn.XLOOKUP(B44,'May 2025'!B:B,'June 2025'!F:F)</f>
        <v>Manufacturing</v>
      </c>
      <c r="G44" s="1">
        <v>30000</v>
      </c>
      <c r="H44" s="1">
        <v>30000</v>
      </c>
      <c r="I44" s="1">
        <v>0</v>
      </c>
      <c r="J44" s="1">
        <v>0</v>
      </c>
      <c r="K44" s="8" t="str">
        <f>_xlfn.XLOOKUP(B44,'May 2025'!B:B,'May 2025'!K:K)</f>
        <v>L-9</v>
      </c>
    </row>
    <row r="45" spans="1:11" x14ac:dyDescent="0.3">
      <c r="A45" s="1">
        <v>44</v>
      </c>
      <c r="B45" s="1">
        <v>44</v>
      </c>
      <c r="C45" s="5" t="s">
        <v>72</v>
      </c>
      <c r="D45" s="1" t="s">
        <v>564</v>
      </c>
      <c r="E45" s="8" t="s">
        <v>67</v>
      </c>
      <c r="F45" s="5" t="str">
        <f>_xlfn.XLOOKUP(B45,'May 2025'!B:B,'June 2025'!F:F)</f>
        <v>Manufacturing</v>
      </c>
      <c r="G45" s="1">
        <v>30000</v>
      </c>
      <c r="H45" s="1">
        <v>30000</v>
      </c>
      <c r="I45" s="1">
        <v>0</v>
      </c>
      <c r="J45" s="1">
        <v>0</v>
      </c>
      <c r="K45" s="8" t="str">
        <f>_xlfn.XLOOKUP(B45,'May 2025'!B:B,'May 2025'!K:K)</f>
        <v>L-9</v>
      </c>
    </row>
    <row r="46" spans="1:11" x14ac:dyDescent="0.3">
      <c r="A46" s="1">
        <v>45</v>
      </c>
      <c r="B46" s="1">
        <v>49</v>
      </c>
      <c r="C46" s="5" t="s">
        <v>73</v>
      </c>
      <c r="D46" s="1" t="s">
        <v>564</v>
      </c>
      <c r="E46" s="8" t="s">
        <v>67</v>
      </c>
      <c r="F46" s="5" t="str">
        <f>_xlfn.XLOOKUP(B46,'May 2025'!B:B,'June 2025'!F:F)</f>
        <v>Manufacturing</v>
      </c>
      <c r="G46" s="1">
        <v>30000</v>
      </c>
      <c r="H46" s="1">
        <v>30000</v>
      </c>
      <c r="I46" s="1">
        <v>0</v>
      </c>
      <c r="J46" s="1">
        <v>0</v>
      </c>
      <c r="K46" s="8" t="str">
        <f>_xlfn.XLOOKUP(B46,'May 2025'!B:B,'May 2025'!K:K)</f>
        <v>L-9</v>
      </c>
    </row>
    <row r="47" spans="1:11" x14ac:dyDescent="0.3">
      <c r="A47" s="1">
        <v>46</v>
      </c>
      <c r="B47" s="1">
        <v>46</v>
      </c>
      <c r="C47" s="5" t="s">
        <v>74</v>
      </c>
      <c r="D47" s="1" t="s">
        <v>564</v>
      </c>
      <c r="E47" s="8" t="s">
        <v>42</v>
      </c>
      <c r="F47" s="5" t="str">
        <f>_xlfn.XLOOKUP(B47,'May 2025'!B:B,'June 2025'!F:F)</f>
        <v>Overseas</v>
      </c>
      <c r="G47" s="1">
        <v>80000</v>
      </c>
      <c r="H47" s="1">
        <v>80000</v>
      </c>
      <c r="I47" s="1">
        <v>0</v>
      </c>
      <c r="J47" s="1">
        <v>0</v>
      </c>
      <c r="K47" s="8" t="str">
        <f>_xlfn.XLOOKUP(B47,'May 2025'!B:B,'May 2025'!K:K)</f>
        <v>L-5</v>
      </c>
    </row>
    <row r="48" spans="1:11" x14ac:dyDescent="0.3">
      <c r="A48" s="1">
        <v>47</v>
      </c>
      <c r="B48" s="1">
        <v>47</v>
      </c>
      <c r="C48" s="5" t="s">
        <v>75</v>
      </c>
      <c r="D48" s="1" t="s">
        <v>564</v>
      </c>
      <c r="E48" s="8" t="s">
        <v>76</v>
      </c>
      <c r="F48" s="5" t="str">
        <f>_xlfn.XLOOKUP(C48,'[1]April 2025'!$C:$C,'[1]April 2025'!$I:$I,"")</f>
        <v>D2C</v>
      </c>
      <c r="G48" s="1">
        <v>19000</v>
      </c>
      <c r="H48" s="1">
        <v>18857</v>
      </c>
      <c r="I48" s="1">
        <v>0</v>
      </c>
      <c r="J48" s="1">
        <v>618</v>
      </c>
      <c r="K48" s="8" t="s">
        <v>553</v>
      </c>
    </row>
    <row r="49" spans="1:11" x14ac:dyDescent="0.3">
      <c r="A49" s="1">
        <v>48</v>
      </c>
      <c r="B49" s="1">
        <v>48</v>
      </c>
      <c r="C49" s="5" t="s">
        <v>77</v>
      </c>
      <c r="D49" s="1" t="s">
        <v>564</v>
      </c>
      <c r="E49" s="8" t="s">
        <v>67</v>
      </c>
      <c r="F49" s="5" t="str">
        <f>_xlfn.XLOOKUP(B49,'May 2025'!B:B,'June 2025'!F:F)</f>
        <v>Manufacturing</v>
      </c>
      <c r="G49" s="1">
        <v>30000</v>
      </c>
      <c r="H49" s="1">
        <v>30000</v>
      </c>
      <c r="I49" s="1">
        <v>0</v>
      </c>
      <c r="J49" s="1">
        <v>0</v>
      </c>
      <c r="K49" s="8" t="str">
        <f>_xlfn.XLOOKUP(B49,'May 2025'!B:B,'May 2025'!K:K)</f>
        <v>L-9</v>
      </c>
    </row>
    <row r="50" spans="1:11" x14ac:dyDescent="0.3">
      <c r="A50" s="1">
        <v>49</v>
      </c>
      <c r="B50" s="1">
        <v>49</v>
      </c>
      <c r="C50" s="5" t="s">
        <v>78</v>
      </c>
      <c r="D50" s="1" t="s">
        <v>564</v>
      </c>
      <c r="E50" s="8" t="s">
        <v>67</v>
      </c>
      <c r="F50" s="5" t="str">
        <f>_xlfn.XLOOKUP(B50,'May 2025'!B:B,'June 2025'!F:F)</f>
        <v>Manufacturing</v>
      </c>
      <c r="G50" s="1">
        <v>30000</v>
      </c>
      <c r="H50" s="1">
        <v>30000</v>
      </c>
      <c r="I50" s="1">
        <v>0</v>
      </c>
      <c r="J50" s="1">
        <v>0</v>
      </c>
      <c r="K50" s="8" t="str">
        <f>_xlfn.XLOOKUP(B50,'May 2025'!B:B,'May 2025'!K:K)</f>
        <v>L-9</v>
      </c>
    </row>
    <row r="51" spans="1:11" x14ac:dyDescent="0.3">
      <c r="A51" s="1">
        <v>50</v>
      </c>
      <c r="B51" s="1">
        <v>10001</v>
      </c>
      <c r="C51" s="5" t="s">
        <v>79</v>
      </c>
      <c r="D51" s="1" t="s">
        <v>565</v>
      </c>
      <c r="E51" s="8" t="s">
        <v>53</v>
      </c>
      <c r="F51" s="5" t="str">
        <f>_xlfn.XLOOKUP('April 2025'!C51,'January 2025'!C:C,'January 2025'!F:F)</f>
        <v>Manufacturing</v>
      </c>
      <c r="G51" s="1">
        <v>11000</v>
      </c>
      <c r="H51" s="1">
        <v>11000</v>
      </c>
      <c r="I51" s="1">
        <v>0</v>
      </c>
      <c r="J51" s="1">
        <v>0</v>
      </c>
      <c r="K51" s="8" t="s">
        <v>557</v>
      </c>
    </row>
    <row r="52" spans="1:11" x14ac:dyDescent="0.3">
      <c r="A52" s="1">
        <v>51</v>
      </c>
      <c r="B52" s="1">
        <v>10002</v>
      </c>
      <c r="C52" s="5" t="s">
        <v>80</v>
      </c>
      <c r="D52" s="1" t="s">
        <v>565</v>
      </c>
      <c r="E52" s="8" t="s">
        <v>61</v>
      </c>
      <c r="F52" s="5" t="str">
        <f>_xlfn.XLOOKUP(B52,'May 2025'!B:B,'June 2025'!F:F)</f>
        <v>Domestic</v>
      </c>
      <c r="G52" s="1">
        <v>15400</v>
      </c>
      <c r="H52" s="1">
        <v>15400</v>
      </c>
      <c r="I52" s="1">
        <v>0</v>
      </c>
      <c r="J52" s="1">
        <v>0</v>
      </c>
      <c r="K52" s="8" t="str">
        <f>_xlfn.XLOOKUP(B52,'May 2025'!B:B,'May 2025'!K:K)</f>
        <v>L-10</v>
      </c>
    </row>
    <row r="53" spans="1:11" x14ac:dyDescent="0.3">
      <c r="A53" s="1">
        <v>52</v>
      </c>
      <c r="B53" s="1">
        <v>18</v>
      </c>
      <c r="C53" s="5" t="s">
        <v>81</v>
      </c>
      <c r="D53" s="1" t="s">
        <v>565</v>
      </c>
      <c r="E53" s="8" t="s">
        <v>82</v>
      </c>
      <c r="F53" s="5" t="str">
        <f>_xlfn.XLOOKUP('April 2025'!C53,'January 2025'!C:C,'January 2025'!F:F)</f>
        <v>Manufacturing</v>
      </c>
      <c r="G53" s="1">
        <v>22000</v>
      </c>
      <c r="H53" s="1">
        <v>22000</v>
      </c>
      <c r="I53" s="1">
        <v>0</v>
      </c>
      <c r="J53" s="1">
        <v>0</v>
      </c>
      <c r="K53" s="8" t="s">
        <v>556</v>
      </c>
    </row>
    <row r="54" spans="1:11" x14ac:dyDescent="0.3">
      <c r="A54" s="1">
        <v>53</v>
      </c>
      <c r="B54" s="1">
        <v>10004</v>
      </c>
      <c r="C54" s="5" t="s">
        <v>83</v>
      </c>
      <c r="D54" s="1" t="s">
        <v>565</v>
      </c>
      <c r="E54" s="8" t="s">
        <v>21</v>
      </c>
      <c r="F54" s="5" t="str">
        <f>_xlfn.XLOOKUP(B54,'May 2025'!B:B,'June 2025'!F:F)</f>
        <v>Manufacturing</v>
      </c>
      <c r="G54" s="1">
        <v>17000</v>
      </c>
      <c r="H54" s="1">
        <v>17000</v>
      </c>
      <c r="I54" s="1">
        <v>0</v>
      </c>
      <c r="J54" s="1">
        <v>0</v>
      </c>
      <c r="K54" s="8" t="str">
        <f>_xlfn.XLOOKUP(B54,'May 2025'!B:B,'May 2025'!K:K)</f>
        <v>L-9</v>
      </c>
    </row>
    <row r="55" spans="1:11" x14ac:dyDescent="0.3">
      <c r="A55" s="1">
        <v>54</v>
      </c>
      <c r="B55" s="1">
        <v>10005</v>
      </c>
      <c r="C55" s="5" t="s">
        <v>84</v>
      </c>
      <c r="D55" s="1" t="s">
        <v>565</v>
      </c>
      <c r="E55" s="8" t="s">
        <v>55</v>
      </c>
      <c r="F55" s="5" t="str">
        <f>_xlfn.XLOOKUP(B55,'May 2025'!B:B,'June 2025'!F:F)</f>
        <v>Manufacturing</v>
      </c>
      <c r="G55" s="1">
        <v>16000</v>
      </c>
      <c r="H55" s="1">
        <v>16000</v>
      </c>
      <c r="I55" s="1">
        <v>0</v>
      </c>
      <c r="J55" s="1">
        <v>0</v>
      </c>
      <c r="K55" s="8" t="str">
        <f>_xlfn.XLOOKUP(B55,'May 2025'!B:B,'May 2025'!K:K)</f>
        <v>L-8</v>
      </c>
    </row>
    <row r="56" spans="1:11" x14ac:dyDescent="0.3">
      <c r="A56" s="1">
        <v>55</v>
      </c>
      <c r="B56" s="1">
        <v>10006</v>
      </c>
      <c r="C56" s="5" t="s">
        <v>85</v>
      </c>
      <c r="D56" s="1" t="s">
        <v>565</v>
      </c>
      <c r="E56" s="8" t="s">
        <v>12</v>
      </c>
      <c r="F56" s="5" t="str">
        <f>_xlfn.XLOOKUP(B56,'May 2025'!B:B,'June 2025'!F:F)</f>
        <v>Manufacturing</v>
      </c>
      <c r="G56" s="1">
        <v>16000</v>
      </c>
      <c r="H56" s="1">
        <v>16000</v>
      </c>
      <c r="I56" s="1">
        <v>0</v>
      </c>
      <c r="J56" s="1">
        <v>0</v>
      </c>
      <c r="K56" s="8" t="str">
        <f>_xlfn.XLOOKUP(B56,'May 2025'!B:B,'May 2025'!K:K)</f>
        <v>L-9</v>
      </c>
    </row>
    <row r="57" spans="1:11" x14ac:dyDescent="0.3">
      <c r="A57" s="1">
        <v>56</v>
      </c>
      <c r="B57" s="1">
        <v>10007</v>
      </c>
      <c r="C57" s="5" t="s">
        <v>86</v>
      </c>
      <c r="D57" s="1" t="s">
        <v>565</v>
      </c>
      <c r="E57" s="8" t="s">
        <v>10</v>
      </c>
      <c r="F57" s="5" t="str">
        <f>_xlfn.XLOOKUP(B57,'May 2025'!B:B,'June 2025'!F:F)</f>
        <v>Overseas</v>
      </c>
      <c r="G57" s="1">
        <v>13500</v>
      </c>
      <c r="H57" s="1">
        <v>13500</v>
      </c>
      <c r="I57" s="1">
        <v>0</v>
      </c>
      <c r="J57" s="1">
        <v>0</v>
      </c>
      <c r="K57" s="8" t="str">
        <f>_xlfn.XLOOKUP(B57,'May 2025'!B:B,'May 2025'!K:K)</f>
        <v>L-8</v>
      </c>
    </row>
    <row r="58" spans="1:11" x14ac:dyDescent="0.3">
      <c r="A58" s="1">
        <v>57</v>
      </c>
      <c r="B58" s="1">
        <v>10008</v>
      </c>
      <c r="C58" s="5" t="s">
        <v>87</v>
      </c>
      <c r="D58" s="1" t="s">
        <v>565</v>
      </c>
      <c r="E58" s="8" t="s">
        <v>88</v>
      </c>
      <c r="F58" s="5" t="str">
        <f>_xlfn.XLOOKUP(B58,'May 2025'!B:B,'June 2025'!F:F)</f>
        <v>Domestic</v>
      </c>
      <c r="G58" s="1">
        <v>10000</v>
      </c>
      <c r="H58" s="1">
        <v>10000</v>
      </c>
      <c r="I58" s="1">
        <v>0</v>
      </c>
      <c r="J58" s="1">
        <v>0</v>
      </c>
      <c r="K58" s="8" t="str">
        <f>_xlfn.XLOOKUP(B58,'May 2025'!B:B,'May 2025'!K:K)</f>
        <v>L-10</v>
      </c>
    </row>
    <row r="59" spans="1:11" x14ac:dyDescent="0.3">
      <c r="A59" s="1">
        <v>58</v>
      </c>
      <c r="B59" s="1">
        <v>10009</v>
      </c>
      <c r="C59" s="5" t="s">
        <v>89</v>
      </c>
      <c r="D59" s="1" t="s">
        <v>565</v>
      </c>
      <c r="E59" s="8" t="s">
        <v>53</v>
      </c>
      <c r="F59" s="5" t="str">
        <f>_xlfn.XLOOKUP(B59,'May 2025'!B:B,'June 2025'!F:F)</f>
        <v>Manufacturing</v>
      </c>
      <c r="G59" s="1">
        <v>11500</v>
      </c>
      <c r="H59" s="1">
        <v>11500</v>
      </c>
      <c r="I59" s="1">
        <v>0</v>
      </c>
      <c r="J59" s="1">
        <v>0</v>
      </c>
      <c r="K59" s="8" t="str">
        <f>_xlfn.XLOOKUP(B59,'May 2025'!B:B,'May 2025'!K:K)</f>
        <v>L-10</v>
      </c>
    </row>
    <row r="60" spans="1:11" x14ac:dyDescent="0.3">
      <c r="A60" s="1">
        <v>59</v>
      </c>
      <c r="B60" s="1">
        <v>10010</v>
      </c>
      <c r="C60" s="5" t="s">
        <v>90</v>
      </c>
      <c r="D60" s="1" t="s">
        <v>565</v>
      </c>
      <c r="E60" s="8" t="s">
        <v>35</v>
      </c>
      <c r="F60" s="5" t="str">
        <f>_xlfn.XLOOKUP('April 2025'!C60,'January 2025'!C:C,'January 2025'!F:F)</f>
        <v>Manufacturing</v>
      </c>
      <c r="G60" s="1">
        <v>14500</v>
      </c>
      <c r="H60" s="1">
        <v>14500</v>
      </c>
      <c r="I60" s="1">
        <v>0</v>
      </c>
      <c r="J60" s="1">
        <v>0</v>
      </c>
      <c r="K60" s="8" t="s">
        <v>556</v>
      </c>
    </row>
    <row r="61" spans="1:11" x14ac:dyDescent="0.3">
      <c r="A61" s="1">
        <v>60</v>
      </c>
      <c r="B61" s="1">
        <v>10011</v>
      </c>
      <c r="C61" s="5" t="s">
        <v>91</v>
      </c>
      <c r="D61" s="1" t="s">
        <v>565</v>
      </c>
      <c r="E61" s="8" t="s">
        <v>55</v>
      </c>
      <c r="F61" s="5" t="str">
        <f>_xlfn.XLOOKUP('April 2025'!C61,'January 2025'!C:C,'January 2025'!F:F)</f>
        <v>Manufacturing</v>
      </c>
      <c r="G61" s="1">
        <v>13500</v>
      </c>
      <c r="H61" s="1">
        <v>13500</v>
      </c>
      <c r="I61" s="1">
        <v>0</v>
      </c>
      <c r="J61" s="1">
        <v>0</v>
      </c>
      <c r="K61" s="8" t="s">
        <v>554</v>
      </c>
    </row>
    <row r="62" spans="1:11" x14ac:dyDescent="0.3">
      <c r="A62" s="1">
        <v>61</v>
      </c>
      <c r="B62" s="1">
        <v>10012</v>
      </c>
      <c r="C62" s="5" t="s">
        <v>92</v>
      </c>
      <c r="D62" s="1" t="s">
        <v>567</v>
      </c>
      <c r="E62" s="8" t="s">
        <v>93</v>
      </c>
      <c r="F62" s="5" t="str">
        <f>_xlfn.XLOOKUP(B62,'May 2025'!B:B,'June 2025'!F:F)</f>
        <v>Manufacturing</v>
      </c>
      <c r="G62" s="1">
        <v>14000</v>
      </c>
      <c r="H62" s="1">
        <v>14000</v>
      </c>
      <c r="I62" s="1">
        <v>0</v>
      </c>
      <c r="J62" s="1">
        <v>0</v>
      </c>
      <c r="K62" s="8" t="str">
        <f>_xlfn.XLOOKUP(B62,'May 2025'!B:B,'May 2025'!K:K)</f>
        <v>L-10</v>
      </c>
    </row>
    <row r="63" spans="1:11" x14ac:dyDescent="0.3">
      <c r="A63" s="1">
        <v>62</v>
      </c>
      <c r="B63" s="1">
        <v>10013</v>
      </c>
      <c r="C63" s="5" t="s">
        <v>94</v>
      </c>
      <c r="D63" s="1" t="s">
        <v>565</v>
      </c>
      <c r="E63" s="8" t="s">
        <v>10</v>
      </c>
      <c r="F63" s="5" t="str">
        <f>_xlfn.XLOOKUP(B63,'May 2025'!B:B,'June 2025'!F:F)</f>
        <v>Office Support</v>
      </c>
      <c r="G63" s="1">
        <v>13500</v>
      </c>
      <c r="H63" s="1">
        <v>13500</v>
      </c>
      <c r="I63" s="1">
        <v>0</v>
      </c>
      <c r="J63" s="1">
        <v>0</v>
      </c>
      <c r="K63" s="8" t="str">
        <f>_xlfn.XLOOKUP(B63,'May 2025'!B:B,'May 2025'!K:K)</f>
        <v>L-8</v>
      </c>
    </row>
    <row r="64" spans="1:11" x14ac:dyDescent="0.3">
      <c r="A64" s="1">
        <v>63</v>
      </c>
      <c r="B64" s="1">
        <v>10014</v>
      </c>
      <c r="C64" s="5" t="s">
        <v>95</v>
      </c>
      <c r="D64" s="1" t="s">
        <v>565</v>
      </c>
      <c r="E64" s="8" t="s">
        <v>53</v>
      </c>
      <c r="F64" s="5" t="str">
        <f>_xlfn.XLOOKUP(B64,'May 2025'!B:B,'June 2025'!F:F)</f>
        <v>Office Support</v>
      </c>
      <c r="G64" s="1">
        <v>12000</v>
      </c>
      <c r="H64" s="1">
        <v>12000</v>
      </c>
      <c r="I64" s="1">
        <v>0</v>
      </c>
      <c r="J64" s="1">
        <v>0</v>
      </c>
      <c r="K64" s="8" t="str">
        <f>_xlfn.XLOOKUP(B64,'May 2025'!B:B,'May 2025'!K:K)</f>
        <v>L-10</v>
      </c>
    </row>
    <row r="65" spans="1:11" x14ac:dyDescent="0.3">
      <c r="A65" s="1">
        <v>64</v>
      </c>
      <c r="B65" s="1">
        <v>10015</v>
      </c>
      <c r="C65" s="5" t="s">
        <v>96</v>
      </c>
      <c r="D65" s="1" t="s">
        <v>565</v>
      </c>
      <c r="E65" s="8" t="s">
        <v>35</v>
      </c>
      <c r="F65" s="5" t="str">
        <f>_xlfn.XLOOKUP(B65,'May 2025'!B:B,'June 2025'!F:F)</f>
        <v>Manufacturing</v>
      </c>
      <c r="G65" s="1">
        <v>14000</v>
      </c>
      <c r="H65" s="1">
        <v>14000</v>
      </c>
      <c r="I65" s="1">
        <v>0</v>
      </c>
      <c r="J65" s="1">
        <v>0</v>
      </c>
      <c r="K65" s="8" t="str">
        <f>_xlfn.XLOOKUP(B65,'May 2025'!B:B,'May 2025'!K:K)</f>
        <v>L-9</v>
      </c>
    </row>
    <row r="66" spans="1:11" x14ac:dyDescent="0.3">
      <c r="A66" s="1">
        <v>65</v>
      </c>
      <c r="B66" s="1">
        <v>10016</v>
      </c>
      <c r="C66" s="5" t="s">
        <v>97</v>
      </c>
      <c r="D66" s="1" t="s">
        <v>565</v>
      </c>
      <c r="E66" s="8" t="s">
        <v>10</v>
      </c>
      <c r="F66" s="5" t="str">
        <f>_xlfn.XLOOKUP(B66,'May 2025'!B:B,'June 2025'!F:F)</f>
        <v>Manufacturing</v>
      </c>
      <c r="G66" s="1">
        <v>13500</v>
      </c>
      <c r="H66" s="1">
        <v>13500</v>
      </c>
      <c r="I66" s="1">
        <v>0</v>
      </c>
      <c r="J66" s="1">
        <v>0</v>
      </c>
      <c r="K66" s="8" t="str">
        <f>_xlfn.XLOOKUP(B66,'May 2025'!B:B,'May 2025'!K:K)</f>
        <v>L-8</v>
      </c>
    </row>
    <row r="67" spans="1:11" x14ac:dyDescent="0.3">
      <c r="A67" s="1">
        <v>66</v>
      </c>
      <c r="B67" s="1">
        <v>10017</v>
      </c>
      <c r="C67" s="5" t="s">
        <v>98</v>
      </c>
      <c r="D67" s="1" t="s">
        <v>565</v>
      </c>
      <c r="E67" s="8" t="s">
        <v>53</v>
      </c>
      <c r="F67" s="5" t="str">
        <f>_xlfn.XLOOKUP(B67,'May 2025'!B:B,'June 2025'!F:F)</f>
        <v>Manufacturing</v>
      </c>
      <c r="G67" s="1">
        <v>13000</v>
      </c>
      <c r="H67" s="1">
        <v>13000</v>
      </c>
      <c r="I67" s="1">
        <v>0</v>
      </c>
      <c r="J67" s="1">
        <v>0</v>
      </c>
      <c r="K67" s="8" t="str">
        <f>_xlfn.XLOOKUP(B67,'May 2025'!B:B,'May 2025'!K:K)</f>
        <v>L-10</v>
      </c>
    </row>
    <row r="68" spans="1:11" x14ac:dyDescent="0.3">
      <c r="A68" s="1">
        <v>67</v>
      </c>
      <c r="B68" s="1">
        <v>10018</v>
      </c>
      <c r="C68" s="5" t="s">
        <v>99</v>
      </c>
      <c r="D68" s="1" t="s">
        <v>565</v>
      </c>
      <c r="E68" s="8" t="s">
        <v>35</v>
      </c>
      <c r="F68" s="5" t="str">
        <f>_xlfn.XLOOKUP(B68,'May 2025'!B:B,'June 2025'!F:F)</f>
        <v>Manufacturing</v>
      </c>
      <c r="G68" s="1">
        <v>15700</v>
      </c>
      <c r="H68" s="1">
        <v>15700</v>
      </c>
      <c r="I68" s="1">
        <v>0</v>
      </c>
      <c r="J68" s="1">
        <v>0</v>
      </c>
      <c r="K68" s="8" t="str">
        <f>_xlfn.XLOOKUP(B68,'May 2025'!B:B,'May 2025'!K:K)</f>
        <v>L-9</v>
      </c>
    </row>
    <row r="69" spans="1:11" x14ac:dyDescent="0.3">
      <c r="A69" s="1">
        <v>68</v>
      </c>
      <c r="B69" s="1">
        <v>129</v>
      </c>
      <c r="C69" s="5" t="s">
        <v>100</v>
      </c>
      <c r="D69" s="1" t="s">
        <v>565</v>
      </c>
      <c r="E69" s="8" t="s">
        <v>61</v>
      </c>
      <c r="F69" s="5" t="str">
        <f>_xlfn.XLOOKUP('April 2025'!C69,'January 2025'!C:C,'January 2025'!F:F)</f>
        <v>Manufacturing</v>
      </c>
      <c r="G69" s="1">
        <v>11500</v>
      </c>
      <c r="H69" s="1">
        <v>11500</v>
      </c>
      <c r="I69" s="1">
        <v>0</v>
      </c>
      <c r="J69" s="1">
        <v>0</v>
      </c>
      <c r="K69" s="8" t="s">
        <v>556</v>
      </c>
    </row>
    <row r="70" spans="1:11" x14ac:dyDescent="0.3">
      <c r="A70" s="1">
        <v>69</v>
      </c>
      <c r="B70" s="1">
        <v>10020</v>
      </c>
      <c r="C70" s="5" t="s">
        <v>101</v>
      </c>
      <c r="D70" s="1" t="s">
        <v>565</v>
      </c>
      <c r="E70" s="8" t="s">
        <v>35</v>
      </c>
      <c r="F70" s="5" t="str">
        <f>_xlfn.XLOOKUP(B70,'May 2025'!B:B,'June 2025'!F:F)</f>
        <v>Manufacturing</v>
      </c>
      <c r="G70" s="1">
        <v>14500</v>
      </c>
      <c r="H70" s="1">
        <v>14500</v>
      </c>
      <c r="I70" s="1">
        <v>0</v>
      </c>
      <c r="J70" s="1">
        <v>0</v>
      </c>
      <c r="K70" s="8" t="str">
        <f>_xlfn.XLOOKUP(B70,'May 2025'!B:B,'May 2025'!K:K)</f>
        <v>L-9</v>
      </c>
    </row>
    <row r="71" spans="1:11" x14ac:dyDescent="0.3">
      <c r="A71" s="1">
        <v>70</v>
      </c>
      <c r="B71" s="1">
        <v>10021</v>
      </c>
      <c r="C71" s="5" t="s">
        <v>102</v>
      </c>
      <c r="D71" s="1" t="s">
        <v>565</v>
      </c>
      <c r="E71" s="8" t="s">
        <v>35</v>
      </c>
      <c r="F71" s="5" t="str">
        <f>_xlfn.XLOOKUP(B71,'May 2025'!B:B,'June 2025'!F:F)</f>
        <v>Manufacturing</v>
      </c>
      <c r="G71" s="1">
        <v>13000</v>
      </c>
      <c r="H71" s="1">
        <v>13000</v>
      </c>
      <c r="I71" s="1">
        <v>0</v>
      </c>
      <c r="J71" s="1">
        <v>0</v>
      </c>
      <c r="K71" s="8" t="str">
        <f>_xlfn.XLOOKUP(B71,'May 2025'!B:B,'May 2025'!K:K)</f>
        <v>L-9</v>
      </c>
    </row>
    <row r="72" spans="1:11" x14ac:dyDescent="0.3">
      <c r="A72" s="1">
        <v>71</v>
      </c>
      <c r="B72" s="1">
        <v>94</v>
      </c>
      <c r="C72" s="5" t="s">
        <v>103</v>
      </c>
      <c r="D72" s="1" t="s">
        <v>565</v>
      </c>
      <c r="E72" s="8" t="s">
        <v>10</v>
      </c>
      <c r="F72" s="5" t="str">
        <f>_xlfn.XLOOKUP(B72,'May 2025'!B:B,'June 2025'!F:F)</f>
        <v xml:space="preserve">Admin </v>
      </c>
      <c r="G72" s="1">
        <v>11000</v>
      </c>
      <c r="H72" s="1">
        <v>11000</v>
      </c>
      <c r="I72" s="1">
        <v>0</v>
      </c>
      <c r="J72" s="1">
        <v>0</v>
      </c>
      <c r="K72" s="8" t="str">
        <f>_xlfn.XLOOKUP(B72,'May 2025'!B:B,'May 2025'!K:K)</f>
        <v>L-9</v>
      </c>
    </row>
    <row r="73" spans="1:11" x14ac:dyDescent="0.3">
      <c r="A73" s="1">
        <v>72</v>
      </c>
      <c r="B73" s="1">
        <v>95</v>
      </c>
      <c r="C73" s="5" t="s">
        <v>104</v>
      </c>
      <c r="D73" s="1" t="s">
        <v>565</v>
      </c>
      <c r="E73" s="8" t="s">
        <v>35</v>
      </c>
      <c r="F73" s="5" t="s">
        <v>501</v>
      </c>
      <c r="G73" s="1">
        <v>11500</v>
      </c>
      <c r="H73" s="1">
        <v>11500</v>
      </c>
      <c r="I73" s="1">
        <v>0</v>
      </c>
      <c r="J73" s="1">
        <v>0</v>
      </c>
      <c r="K73" s="8" t="s">
        <v>556</v>
      </c>
    </row>
    <row r="74" spans="1:11" x14ac:dyDescent="0.3">
      <c r="A74" s="1">
        <v>73</v>
      </c>
      <c r="B74" s="1">
        <v>10024</v>
      </c>
      <c r="C74" s="5" t="s">
        <v>105</v>
      </c>
      <c r="D74" s="1" t="s">
        <v>565</v>
      </c>
      <c r="E74" s="8" t="s">
        <v>53</v>
      </c>
      <c r="F74" s="5" t="str">
        <f>_xlfn.XLOOKUP('April 2025'!C74,'January 2025'!C:C,'January 2025'!F:F)</f>
        <v>Domestic</v>
      </c>
      <c r="G74" s="1">
        <v>10500</v>
      </c>
      <c r="H74" s="1">
        <v>10500</v>
      </c>
      <c r="I74" s="1">
        <v>0</v>
      </c>
      <c r="J74" s="1">
        <v>0</v>
      </c>
      <c r="K74" s="8" t="s">
        <v>557</v>
      </c>
    </row>
    <row r="75" spans="1:11" x14ac:dyDescent="0.3">
      <c r="A75" s="1">
        <v>74</v>
      </c>
      <c r="B75" s="1">
        <v>10025</v>
      </c>
      <c r="C75" s="5" t="s">
        <v>106</v>
      </c>
      <c r="D75" s="1" t="s">
        <v>565</v>
      </c>
      <c r="E75" s="8" t="s">
        <v>53</v>
      </c>
      <c r="F75" s="5" t="str">
        <f>_xlfn.XLOOKUP('April 2025'!C75,'January 2025'!C:C,'January 2025'!F:F)</f>
        <v>Manufacturing</v>
      </c>
      <c r="G75" s="1">
        <v>10000</v>
      </c>
      <c r="H75" s="1">
        <v>10000</v>
      </c>
      <c r="I75" s="1">
        <v>0</v>
      </c>
      <c r="J75" s="1">
        <v>0</v>
      </c>
      <c r="K75" s="8" t="s">
        <v>557</v>
      </c>
    </row>
    <row r="76" spans="1:11" x14ac:dyDescent="0.3">
      <c r="A76" s="1">
        <v>75</v>
      </c>
      <c r="B76" s="1">
        <v>99</v>
      </c>
      <c r="C76" s="5" t="s">
        <v>107</v>
      </c>
      <c r="D76" s="1" t="s">
        <v>565</v>
      </c>
      <c r="E76" s="8" t="s">
        <v>10</v>
      </c>
      <c r="F76" s="5" t="str">
        <f>_xlfn.XLOOKUP(B76,'May 2025'!B:B,'June 2025'!F:F)</f>
        <v>Manufacturing</v>
      </c>
      <c r="G76" s="1">
        <v>12500</v>
      </c>
      <c r="H76" s="1">
        <v>12500</v>
      </c>
      <c r="I76" s="1">
        <v>0</v>
      </c>
      <c r="J76" s="1">
        <v>0</v>
      </c>
      <c r="K76" s="8" t="str">
        <f>_xlfn.XLOOKUP(B76,'May 2025'!B:B,'May 2025'!K:K)</f>
        <v>L-9</v>
      </c>
    </row>
    <row r="77" spans="1:11" x14ac:dyDescent="0.3">
      <c r="A77" s="1">
        <v>76</v>
      </c>
      <c r="B77" s="1">
        <v>10027</v>
      </c>
      <c r="C77" s="5" t="s">
        <v>108</v>
      </c>
      <c r="D77" s="1" t="s">
        <v>565</v>
      </c>
      <c r="E77" s="8" t="s">
        <v>64</v>
      </c>
      <c r="F77" s="5" t="str">
        <f>_xlfn.XLOOKUP(B77,'May 2025'!B:B,'June 2025'!F:F)</f>
        <v>Manufacturing</v>
      </c>
      <c r="G77" s="1">
        <v>6500</v>
      </c>
      <c r="H77" s="1">
        <v>6500</v>
      </c>
      <c r="I77" s="1">
        <v>0</v>
      </c>
      <c r="J77" s="1">
        <v>0</v>
      </c>
      <c r="K77" s="8" t="str">
        <f>_xlfn.XLOOKUP(B77,'May 2025'!B:B,'May 2025'!K:K)</f>
        <v>L-7</v>
      </c>
    </row>
    <row r="78" spans="1:11" x14ac:dyDescent="0.3">
      <c r="A78" s="1">
        <v>77</v>
      </c>
      <c r="B78" s="1">
        <v>105</v>
      </c>
      <c r="C78" s="5" t="s">
        <v>109</v>
      </c>
      <c r="D78" s="1" t="s">
        <v>565</v>
      </c>
      <c r="E78" s="8" t="s">
        <v>10</v>
      </c>
      <c r="F78" s="5" t="str">
        <f>_xlfn.XLOOKUP(B78,'May 2025'!B:B,'June 2025'!F:F)</f>
        <v>Manufacturing</v>
      </c>
      <c r="G78" s="1">
        <v>11500</v>
      </c>
      <c r="H78" s="1">
        <v>11500</v>
      </c>
      <c r="I78" s="1">
        <v>0</v>
      </c>
      <c r="J78" s="1">
        <v>0</v>
      </c>
      <c r="K78" s="8" t="str">
        <f>_xlfn.XLOOKUP(B78,'May 2025'!B:B,'May 2025'!K:K)</f>
        <v>L-5</v>
      </c>
    </row>
    <row r="79" spans="1:11" x14ac:dyDescent="0.3">
      <c r="A79" s="1">
        <v>78</v>
      </c>
      <c r="B79" s="1">
        <v>10029</v>
      </c>
      <c r="C79" s="5" t="s">
        <v>110</v>
      </c>
      <c r="D79" s="1" t="s">
        <v>565</v>
      </c>
      <c r="E79" s="8" t="s">
        <v>35</v>
      </c>
      <c r="F79" s="5" t="str">
        <f>_xlfn.XLOOKUP('April 2025'!C79,'January 2025'!C:C,'January 2025'!F:F)</f>
        <v>Manufacturing</v>
      </c>
      <c r="G79" s="1">
        <v>13000</v>
      </c>
      <c r="H79" s="1">
        <v>13000</v>
      </c>
      <c r="I79" s="1">
        <v>0</v>
      </c>
      <c r="J79" s="1">
        <v>0</v>
      </c>
      <c r="K79" s="8" t="s">
        <v>556</v>
      </c>
    </row>
    <row r="80" spans="1:11" x14ac:dyDescent="0.3">
      <c r="A80" s="1">
        <v>79</v>
      </c>
      <c r="B80" s="1">
        <v>114</v>
      </c>
      <c r="C80" s="5" t="s">
        <v>111</v>
      </c>
      <c r="D80" s="1" t="s">
        <v>565</v>
      </c>
      <c r="E80" s="8" t="s">
        <v>61</v>
      </c>
      <c r="F80" s="5" t="str">
        <f>_xlfn.XLOOKUP(B80,'May 2025'!B:B,'June 2025'!F:F)</f>
        <v>Manufacturing</v>
      </c>
      <c r="G80" s="1">
        <v>13500</v>
      </c>
      <c r="H80" s="1">
        <v>13500</v>
      </c>
      <c r="I80" s="1">
        <v>0</v>
      </c>
      <c r="J80" s="1">
        <v>0</v>
      </c>
      <c r="K80" s="8" t="str">
        <f>_xlfn.XLOOKUP(B80,'May 2025'!B:B,'May 2025'!K:K)</f>
        <v>L-9</v>
      </c>
    </row>
    <row r="81" spans="1:11" x14ac:dyDescent="0.3">
      <c r="A81" s="1">
        <v>80</v>
      </c>
      <c r="B81" s="1">
        <v>10031</v>
      </c>
      <c r="C81" s="5" t="s">
        <v>112</v>
      </c>
      <c r="D81" s="1" t="s">
        <v>565</v>
      </c>
      <c r="E81" s="8" t="s">
        <v>53</v>
      </c>
      <c r="F81" s="5" t="str">
        <f>_xlfn.XLOOKUP('April 2025'!C81,'January 2025'!C:C,'January 2025'!F:F)</f>
        <v>Manufacturing</v>
      </c>
      <c r="G81" s="1">
        <v>11500</v>
      </c>
      <c r="H81" s="1">
        <v>11500</v>
      </c>
      <c r="I81" s="1">
        <v>0</v>
      </c>
      <c r="J81" s="1">
        <v>0</v>
      </c>
      <c r="K81" s="8" t="s">
        <v>557</v>
      </c>
    </row>
    <row r="82" spans="1:11" x14ac:dyDescent="0.3">
      <c r="A82" s="1">
        <v>81</v>
      </c>
      <c r="B82" s="1">
        <v>10032</v>
      </c>
      <c r="C82" s="5" t="s">
        <v>113</v>
      </c>
      <c r="D82" s="1" t="s">
        <v>565</v>
      </c>
      <c r="E82" s="8" t="s">
        <v>53</v>
      </c>
      <c r="F82" s="5" t="str">
        <f>_xlfn.XLOOKUP('April 2025'!C82,'January 2025'!C:C,'January 2025'!F:F)</f>
        <v>Manufacturing</v>
      </c>
      <c r="G82" s="1">
        <v>12500</v>
      </c>
      <c r="H82" s="1">
        <v>12500</v>
      </c>
      <c r="I82" s="1">
        <v>0</v>
      </c>
      <c r="J82" s="1">
        <v>0</v>
      </c>
      <c r="K82" s="8" t="s">
        <v>557</v>
      </c>
    </row>
    <row r="83" spans="1:11" x14ac:dyDescent="0.3">
      <c r="A83" s="1">
        <v>82</v>
      </c>
      <c r="B83" s="1">
        <v>10033</v>
      </c>
      <c r="C83" s="5" t="s">
        <v>114</v>
      </c>
      <c r="D83" s="1" t="s">
        <v>565</v>
      </c>
      <c r="E83" s="8" t="s">
        <v>53</v>
      </c>
      <c r="F83" s="5" t="str">
        <f>_xlfn.XLOOKUP(C83,'[1]April 2025'!$C:$C,'[1]April 2025'!$I:$I,"")</f>
        <v>Manufacturing</v>
      </c>
      <c r="G83" s="1">
        <v>12500</v>
      </c>
      <c r="H83" s="1">
        <v>12500</v>
      </c>
      <c r="I83" s="1">
        <v>0</v>
      </c>
      <c r="J83" s="1">
        <v>0</v>
      </c>
      <c r="K83" s="8" t="s">
        <v>557</v>
      </c>
    </row>
    <row r="84" spans="1:11" x14ac:dyDescent="0.3">
      <c r="A84" s="1">
        <v>83</v>
      </c>
      <c r="B84" s="1">
        <v>10034</v>
      </c>
      <c r="C84" s="5" t="s">
        <v>115</v>
      </c>
      <c r="D84" s="1" t="s">
        <v>565</v>
      </c>
      <c r="E84" s="8" t="s">
        <v>35</v>
      </c>
      <c r="F84" s="5" t="str">
        <f>_xlfn.XLOOKUP('April 2025'!C84,'January 2025'!C:C,'January 2025'!F:F)</f>
        <v>Manufacturing</v>
      </c>
      <c r="G84" s="1">
        <v>15000</v>
      </c>
      <c r="H84" s="1">
        <v>15000</v>
      </c>
      <c r="I84" s="1">
        <v>0</v>
      </c>
      <c r="J84" s="1">
        <v>0</v>
      </c>
      <c r="K84" s="8" t="s">
        <v>556</v>
      </c>
    </row>
    <row r="85" spans="1:11" x14ac:dyDescent="0.3">
      <c r="A85" s="1">
        <v>84</v>
      </c>
      <c r="B85" s="1">
        <v>121</v>
      </c>
      <c r="C85" s="5" t="s">
        <v>116</v>
      </c>
      <c r="D85" s="1" t="s">
        <v>565</v>
      </c>
      <c r="E85" s="8" t="s">
        <v>35</v>
      </c>
      <c r="F85" s="5" t="str">
        <f>_xlfn.XLOOKUP('April 2025'!C85,'January 2025'!C:C,'January 2025'!F:F)</f>
        <v>Manufacturing</v>
      </c>
      <c r="G85" s="1">
        <v>13000</v>
      </c>
      <c r="H85" s="1">
        <v>13000</v>
      </c>
      <c r="I85" s="1">
        <v>0</v>
      </c>
      <c r="J85" s="1">
        <v>0</v>
      </c>
      <c r="K85" s="8" t="s">
        <v>556</v>
      </c>
    </row>
    <row r="86" spans="1:11" x14ac:dyDescent="0.3">
      <c r="A86" s="1">
        <v>85</v>
      </c>
      <c r="B86" s="1">
        <v>10036</v>
      </c>
      <c r="C86" s="5" t="s">
        <v>117</v>
      </c>
      <c r="D86" s="1" t="s">
        <v>565</v>
      </c>
      <c r="E86" s="8" t="s">
        <v>35</v>
      </c>
      <c r="F86" s="5" t="str">
        <f>_xlfn.XLOOKUP(B86,'May 2025'!B:B,'June 2025'!F:F)</f>
        <v>Domestic</v>
      </c>
      <c r="G86" s="1">
        <v>13000</v>
      </c>
      <c r="H86" s="1">
        <v>13000</v>
      </c>
      <c r="I86" s="1">
        <v>0</v>
      </c>
      <c r="J86" s="1">
        <v>0</v>
      </c>
      <c r="K86" s="8" t="str">
        <f>_xlfn.XLOOKUP(B86,'May 2025'!B:B,'May 2025'!K:K)</f>
        <v>L-9</v>
      </c>
    </row>
    <row r="87" spans="1:11" x14ac:dyDescent="0.3">
      <c r="A87" s="1">
        <v>86</v>
      </c>
      <c r="B87" s="1">
        <v>10037</v>
      </c>
      <c r="C87" s="5" t="s">
        <v>118</v>
      </c>
      <c r="D87" s="1" t="s">
        <v>565</v>
      </c>
      <c r="E87" s="8" t="s">
        <v>35</v>
      </c>
      <c r="F87" s="5" t="str">
        <f>_xlfn.XLOOKUP(B87,'May 2025'!B:B,'June 2025'!F:F)</f>
        <v>Manufacturing</v>
      </c>
      <c r="G87" s="1">
        <v>13500</v>
      </c>
      <c r="H87" s="1">
        <v>13500</v>
      </c>
      <c r="I87" s="1">
        <v>0</v>
      </c>
      <c r="J87" s="1">
        <v>0</v>
      </c>
      <c r="K87" s="8" t="str">
        <f>_xlfn.XLOOKUP(B87,'May 2025'!B:B,'May 2025'!K:K)</f>
        <v>L-9</v>
      </c>
    </row>
    <row r="88" spans="1:11" x14ac:dyDescent="0.3">
      <c r="A88" s="1">
        <v>87</v>
      </c>
      <c r="B88" s="1">
        <v>126</v>
      </c>
      <c r="C88" s="5" t="s">
        <v>119</v>
      </c>
      <c r="D88" s="1" t="s">
        <v>565</v>
      </c>
      <c r="E88" s="8" t="s">
        <v>53</v>
      </c>
      <c r="F88" s="5" t="str">
        <f>_xlfn.XLOOKUP('April 2025'!C88,'January 2025'!C:C,'January 2025'!F:F)</f>
        <v>Manufacturing</v>
      </c>
      <c r="G88" s="1">
        <v>11000</v>
      </c>
      <c r="H88" s="1">
        <v>11000</v>
      </c>
      <c r="I88" s="1">
        <v>0</v>
      </c>
      <c r="J88" s="1">
        <v>0</v>
      </c>
      <c r="K88" s="8" t="s">
        <v>557</v>
      </c>
    </row>
    <row r="89" spans="1:11" x14ac:dyDescent="0.3">
      <c r="A89" s="1">
        <v>88</v>
      </c>
      <c r="B89" s="1">
        <v>22</v>
      </c>
      <c r="C89" s="5" t="s">
        <v>120</v>
      </c>
      <c r="D89" s="1" t="s">
        <v>565</v>
      </c>
      <c r="E89" s="8" t="s">
        <v>61</v>
      </c>
      <c r="F89" s="5" t="str">
        <f>_xlfn.XLOOKUP(B89,'May 2025'!B:B,'June 2025'!F:F)</f>
        <v>Domestic</v>
      </c>
      <c r="G89" s="1">
        <v>13000</v>
      </c>
      <c r="H89" s="1">
        <v>13000</v>
      </c>
      <c r="I89" s="1">
        <v>0</v>
      </c>
      <c r="J89" s="1">
        <v>0</v>
      </c>
      <c r="K89" s="8" t="str">
        <f>_xlfn.XLOOKUP(B89,'May 2025'!B:B,'May 2025'!K:K)</f>
        <v>L-5</v>
      </c>
    </row>
    <row r="90" spans="1:11" x14ac:dyDescent="0.3">
      <c r="A90" s="1">
        <v>89</v>
      </c>
      <c r="B90" s="1">
        <v>10040</v>
      </c>
      <c r="C90" s="5" t="s">
        <v>121</v>
      </c>
      <c r="D90" s="1" t="s">
        <v>565</v>
      </c>
      <c r="E90" s="8" t="s">
        <v>35</v>
      </c>
      <c r="F90" s="5" t="str">
        <f>_xlfn.XLOOKUP('April 2025'!C90,'January 2025'!C:C,'January 2025'!F:F)</f>
        <v>Manufacturing</v>
      </c>
      <c r="G90" s="1">
        <v>13500</v>
      </c>
      <c r="H90" s="1">
        <v>13500</v>
      </c>
      <c r="I90" s="1">
        <v>0</v>
      </c>
      <c r="J90" s="1">
        <v>0</v>
      </c>
      <c r="K90" s="8" t="s">
        <v>556</v>
      </c>
    </row>
    <row r="91" spans="1:11" x14ac:dyDescent="0.3">
      <c r="A91" s="1">
        <v>90</v>
      </c>
      <c r="B91" s="1">
        <v>10041</v>
      </c>
      <c r="C91" s="5" t="s">
        <v>122</v>
      </c>
      <c r="D91" s="1" t="s">
        <v>565</v>
      </c>
      <c r="E91" s="8" t="s">
        <v>35</v>
      </c>
      <c r="F91" s="5" t="str">
        <f>_xlfn.XLOOKUP(B91,'May 2025'!B:B,'June 2025'!F:F)</f>
        <v>Manufacturing</v>
      </c>
      <c r="G91" s="1">
        <v>14000</v>
      </c>
      <c r="H91" s="1">
        <v>14000</v>
      </c>
      <c r="I91" s="1">
        <v>0</v>
      </c>
      <c r="J91" s="1">
        <v>0</v>
      </c>
      <c r="K91" s="8" t="str">
        <f>_xlfn.XLOOKUP(B91,'May 2025'!B:B,'May 2025'!K:K)</f>
        <v>L-9</v>
      </c>
    </row>
    <row r="92" spans="1:11" x14ac:dyDescent="0.3">
      <c r="A92" s="1">
        <v>91</v>
      </c>
      <c r="B92" s="1">
        <v>10042</v>
      </c>
      <c r="C92" s="5" t="s">
        <v>123</v>
      </c>
      <c r="D92" s="1" t="s">
        <v>565</v>
      </c>
      <c r="E92" s="8" t="s">
        <v>61</v>
      </c>
      <c r="F92" s="5" t="str">
        <f>_xlfn.XLOOKUP('April 2025'!C92,'January 2025'!C:C,'January 2025'!F:F)</f>
        <v>Manufacturing</v>
      </c>
      <c r="G92" s="1">
        <v>12500</v>
      </c>
      <c r="H92" s="1">
        <v>12500</v>
      </c>
      <c r="I92" s="1">
        <v>0</v>
      </c>
      <c r="J92" s="1">
        <v>0</v>
      </c>
      <c r="K92" s="8" t="s">
        <v>556</v>
      </c>
    </row>
    <row r="93" spans="1:11" x14ac:dyDescent="0.3">
      <c r="A93" s="1">
        <v>92</v>
      </c>
      <c r="B93" s="1">
        <v>10043</v>
      </c>
      <c r="C93" s="5" t="s">
        <v>124</v>
      </c>
      <c r="D93" s="1" t="s">
        <v>565</v>
      </c>
      <c r="E93" s="8" t="s">
        <v>35</v>
      </c>
      <c r="F93" s="5" t="str">
        <f>_xlfn.XLOOKUP(B93,'May 2025'!B:B,'June 2025'!F:F)</f>
        <v>Manufacturing</v>
      </c>
      <c r="G93" s="1">
        <v>11500</v>
      </c>
      <c r="H93" s="1">
        <v>11500</v>
      </c>
      <c r="I93" s="1">
        <v>0</v>
      </c>
      <c r="J93" s="1">
        <v>0</v>
      </c>
      <c r="K93" s="8" t="str">
        <f>_xlfn.XLOOKUP(B93,'May 2025'!B:B,'May 2025'!K:K)</f>
        <v>L-9</v>
      </c>
    </row>
    <row r="94" spans="1:11" x14ac:dyDescent="0.3">
      <c r="A94" s="1">
        <v>93</v>
      </c>
      <c r="B94" s="1">
        <v>10044</v>
      </c>
      <c r="C94" s="5" t="s">
        <v>125</v>
      </c>
      <c r="D94" s="1" t="s">
        <v>565</v>
      </c>
      <c r="E94" s="8" t="s">
        <v>35</v>
      </c>
      <c r="F94" s="5" t="str">
        <f>_xlfn.XLOOKUP('April 2025'!C94,'January 2025'!C:C,'January 2025'!F:F)</f>
        <v>Manufacturing</v>
      </c>
      <c r="G94" s="1">
        <v>12500</v>
      </c>
      <c r="H94" s="1">
        <v>12500</v>
      </c>
      <c r="I94" s="1">
        <v>0</v>
      </c>
      <c r="J94" s="1">
        <v>0</v>
      </c>
      <c r="K94" s="8" t="s">
        <v>556</v>
      </c>
    </row>
    <row r="95" spans="1:11" x14ac:dyDescent="0.3">
      <c r="A95" s="1">
        <v>94</v>
      </c>
      <c r="B95" s="1">
        <v>149</v>
      </c>
      <c r="C95" s="5" t="s">
        <v>126</v>
      </c>
      <c r="D95" s="1" t="s">
        <v>565</v>
      </c>
      <c r="E95" s="8" t="s">
        <v>35</v>
      </c>
      <c r="F95" s="5" t="str">
        <f>_xlfn.XLOOKUP('April 2025'!C95,'January 2025'!C:C,'January 2025'!F:F)</f>
        <v>Manufacturing</v>
      </c>
      <c r="G95" s="1">
        <v>12500</v>
      </c>
      <c r="H95" s="1">
        <v>12500</v>
      </c>
      <c r="I95" s="1">
        <v>0</v>
      </c>
      <c r="J95" s="1">
        <v>0</v>
      </c>
      <c r="K95" s="8" t="s">
        <v>556</v>
      </c>
    </row>
    <row r="96" spans="1:11" x14ac:dyDescent="0.3">
      <c r="A96" s="1">
        <v>95</v>
      </c>
      <c r="B96" s="1">
        <v>10046</v>
      </c>
      <c r="C96" s="5" t="s">
        <v>127</v>
      </c>
      <c r="D96" s="1" t="s">
        <v>565</v>
      </c>
      <c r="E96" s="8" t="s">
        <v>55</v>
      </c>
      <c r="F96" s="5" t="str">
        <f>_xlfn.XLOOKUP(B96,'May 2025'!B:B,'June 2025'!F:F)</f>
        <v>Manufacturing</v>
      </c>
      <c r="G96" s="1">
        <v>16500</v>
      </c>
      <c r="H96" s="1">
        <v>16500</v>
      </c>
      <c r="I96" s="1">
        <v>0</v>
      </c>
      <c r="J96" s="1">
        <v>0</v>
      </c>
      <c r="K96" s="8" t="str">
        <f>_xlfn.XLOOKUP(B96,'May 2025'!B:B,'May 2025'!K:K)</f>
        <v>L-7</v>
      </c>
    </row>
    <row r="97" spans="1:11" x14ac:dyDescent="0.3">
      <c r="A97" s="1">
        <v>96</v>
      </c>
      <c r="B97" s="1">
        <v>10047</v>
      </c>
      <c r="C97" s="5" t="s">
        <v>128</v>
      </c>
      <c r="D97" s="1" t="s">
        <v>565</v>
      </c>
      <c r="E97" s="8" t="s">
        <v>53</v>
      </c>
      <c r="F97" s="5" t="str">
        <f>_xlfn.XLOOKUP('April 2025'!C97,'January 2025'!C:C,'January 2025'!F:F)</f>
        <v>Manufacturing</v>
      </c>
      <c r="G97" s="1">
        <v>10500</v>
      </c>
      <c r="H97" s="1">
        <v>10500</v>
      </c>
      <c r="I97" s="1">
        <v>0</v>
      </c>
      <c r="J97" s="1">
        <v>0</v>
      </c>
      <c r="K97" s="8" t="s">
        <v>557</v>
      </c>
    </row>
    <row r="98" spans="1:11" x14ac:dyDescent="0.3">
      <c r="A98" s="1">
        <v>97</v>
      </c>
      <c r="B98" s="1">
        <v>10048</v>
      </c>
      <c r="C98" s="5" t="s">
        <v>129</v>
      </c>
      <c r="D98" s="1" t="s">
        <v>565</v>
      </c>
      <c r="E98" s="8" t="s">
        <v>130</v>
      </c>
      <c r="F98" s="5" t="str">
        <f>_xlfn.XLOOKUP('April 2025'!C98,'January 2025'!C:C,'January 2025'!F:F)</f>
        <v>Manufacturing</v>
      </c>
      <c r="G98" s="1">
        <v>8500</v>
      </c>
      <c r="H98" s="1">
        <v>8500</v>
      </c>
      <c r="I98" s="1">
        <v>0</v>
      </c>
      <c r="J98" s="1">
        <v>0</v>
      </c>
      <c r="K98" s="8" t="s">
        <v>556</v>
      </c>
    </row>
    <row r="99" spans="1:11" x14ac:dyDescent="0.3">
      <c r="A99" s="1">
        <v>98</v>
      </c>
      <c r="B99" s="1">
        <v>10049</v>
      </c>
      <c r="C99" s="5" t="s">
        <v>131</v>
      </c>
      <c r="D99" s="1" t="s">
        <v>565</v>
      </c>
      <c r="E99" s="8" t="s">
        <v>53</v>
      </c>
      <c r="F99" s="5" t="str">
        <f>_xlfn.XLOOKUP(B99,'May 2025'!B:B,'June 2025'!F:F)</f>
        <v>Domestic</v>
      </c>
      <c r="G99" s="1">
        <v>13000</v>
      </c>
      <c r="H99" s="1">
        <v>13000</v>
      </c>
      <c r="I99" s="1">
        <v>0</v>
      </c>
      <c r="J99" s="1">
        <v>0</v>
      </c>
      <c r="K99" s="8" t="str">
        <f>_xlfn.XLOOKUP(B99,'May 2025'!B:B,'May 2025'!K:K)</f>
        <v>L-10</v>
      </c>
    </row>
    <row r="100" spans="1:11" x14ac:dyDescent="0.3">
      <c r="A100" s="1">
        <v>99</v>
      </c>
      <c r="B100" s="1">
        <v>10050</v>
      </c>
      <c r="C100" s="5" t="s">
        <v>132</v>
      </c>
      <c r="D100" s="1" t="s">
        <v>565</v>
      </c>
      <c r="E100" s="8" t="s">
        <v>53</v>
      </c>
      <c r="F100" s="5" t="str">
        <f>_xlfn.XLOOKUP(B100,'May 2025'!B:B,'June 2025'!F:F)</f>
        <v xml:space="preserve">Admin </v>
      </c>
      <c r="G100" s="1">
        <v>11000</v>
      </c>
      <c r="H100" s="1">
        <v>11000</v>
      </c>
      <c r="I100" s="1">
        <v>0</v>
      </c>
      <c r="J100" s="1">
        <v>0</v>
      </c>
      <c r="K100" s="8" t="str">
        <f>_xlfn.XLOOKUP(B100,'May 2025'!B:B,'May 2025'!K:K)</f>
        <v>L-10</v>
      </c>
    </row>
    <row r="101" spans="1:11" x14ac:dyDescent="0.3">
      <c r="A101" s="1">
        <v>100</v>
      </c>
      <c r="B101" s="1">
        <v>162</v>
      </c>
      <c r="C101" s="5" t="s">
        <v>133</v>
      </c>
      <c r="D101" s="1" t="s">
        <v>565</v>
      </c>
      <c r="E101" s="8" t="s">
        <v>53</v>
      </c>
      <c r="F101" s="5" t="str">
        <f>_xlfn.XLOOKUP('April 2025'!C101,'January 2025'!C:C,'January 2025'!F:F)</f>
        <v>Manufacturing</v>
      </c>
      <c r="G101" s="1">
        <v>11000</v>
      </c>
      <c r="H101" s="1">
        <v>11000</v>
      </c>
      <c r="I101" s="1">
        <v>0</v>
      </c>
      <c r="J101" s="1">
        <v>0</v>
      </c>
      <c r="K101" s="8" t="s">
        <v>557</v>
      </c>
    </row>
    <row r="102" spans="1:11" x14ac:dyDescent="0.3">
      <c r="A102" s="1">
        <v>101</v>
      </c>
      <c r="B102" s="1">
        <v>10052</v>
      </c>
      <c r="C102" s="5" t="s">
        <v>134</v>
      </c>
      <c r="D102" s="1" t="s">
        <v>565</v>
      </c>
      <c r="E102" s="8" t="s">
        <v>135</v>
      </c>
      <c r="F102" s="5" t="str">
        <f>_xlfn.XLOOKUP('April 2025'!C102,'January 2025'!C:C,'January 2025'!F:F)</f>
        <v>Manufacturing</v>
      </c>
      <c r="G102" s="1">
        <v>12500</v>
      </c>
      <c r="H102" s="1">
        <v>12500</v>
      </c>
      <c r="I102" s="1">
        <v>0</v>
      </c>
      <c r="J102" s="1">
        <v>0</v>
      </c>
      <c r="K102" s="8" t="s">
        <v>556</v>
      </c>
    </row>
    <row r="103" spans="1:11" x14ac:dyDescent="0.3">
      <c r="A103" s="1">
        <v>102</v>
      </c>
      <c r="B103" s="1">
        <v>10053</v>
      </c>
      <c r="C103" s="5" t="s">
        <v>136</v>
      </c>
      <c r="D103" s="1" t="s">
        <v>565</v>
      </c>
      <c r="E103" s="8" t="s">
        <v>55</v>
      </c>
      <c r="F103" s="5" t="str">
        <f>_xlfn.XLOOKUP(B103,'May 2025'!B:B,'June 2025'!F:F)</f>
        <v>Manufacturing</v>
      </c>
      <c r="G103" s="1">
        <v>13000</v>
      </c>
      <c r="H103" s="1">
        <v>13000</v>
      </c>
      <c r="I103" s="1">
        <v>0</v>
      </c>
      <c r="J103" s="1">
        <v>0</v>
      </c>
      <c r="K103" s="8" t="str">
        <f>_xlfn.XLOOKUP(B103,'May 2025'!B:B,'May 2025'!K:K)</f>
        <v>L-7</v>
      </c>
    </row>
    <row r="104" spans="1:11" x14ac:dyDescent="0.3">
      <c r="A104" s="1">
        <v>103</v>
      </c>
      <c r="B104" s="1">
        <v>10054</v>
      </c>
      <c r="C104" s="5" t="s">
        <v>137</v>
      </c>
      <c r="D104" s="1" t="s">
        <v>565</v>
      </c>
      <c r="E104" s="8" t="s">
        <v>55</v>
      </c>
      <c r="F104" s="5" t="str">
        <f>_xlfn.XLOOKUP(B104,'May 2025'!B:B,'June 2025'!F:F)</f>
        <v>Domestic</v>
      </c>
      <c r="G104" s="1">
        <v>14500</v>
      </c>
      <c r="H104" s="1">
        <v>14500</v>
      </c>
      <c r="I104" s="1">
        <v>0</v>
      </c>
      <c r="J104" s="1">
        <v>0</v>
      </c>
      <c r="K104" s="8" t="str">
        <f>_xlfn.XLOOKUP(B104,'May 2025'!B:B,'May 2025'!K:K)</f>
        <v>L-7</v>
      </c>
    </row>
    <row r="105" spans="1:11" x14ac:dyDescent="0.3">
      <c r="A105" s="1">
        <v>104</v>
      </c>
      <c r="B105" s="1">
        <v>10055</v>
      </c>
      <c r="C105" s="5" t="s">
        <v>138</v>
      </c>
      <c r="D105" s="1" t="s">
        <v>565</v>
      </c>
      <c r="E105" s="8" t="s">
        <v>53</v>
      </c>
      <c r="F105" s="5" t="str">
        <f>_xlfn.XLOOKUP(B105,'May 2025'!B:B,'June 2025'!F:F)</f>
        <v xml:space="preserve">Admin </v>
      </c>
      <c r="G105" s="1">
        <v>11000</v>
      </c>
      <c r="H105" s="1">
        <v>11000</v>
      </c>
      <c r="I105" s="1">
        <v>0</v>
      </c>
      <c r="J105" s="1">
        <v>0</v>
      </c>
      <c r="K105" s="8" t="str">
        <f>_xlfn.XLOOKUP(B105,'May 2025'!B:B,'May 2025'!K:K)</f>
        <v>L-10</v>
      </c>
    </row>
    <row r="106" spans="1:11" x14ac:dyDescent="0.3">
      <c r="A106" s="1">
        <v>105</v>
      </c>
      <c r="B106" s="1">
        <v>10056</v>
      </c>
      <c r="C106" s="5" t="s">
        <v>139</v>
      </c>
      <c r="D106" s="1" t="s">
        <v>565</v>
      </c>
      <c r="E106" s="8" t="s">
        <v>53</v>
      </c>
      <c r="F106" s="5" t="str">
        <f>_xlfn.XLOOKUP('April 2025'!C106,'January 2025'!C:C,'January 2025'!F:F)</f>
        <v>Manufacturing</v>
      </c>
      <c r="G106" s="1">
        <v>11000</v>
      </c>
      <c r="H106" s="1">
        <v>11000</v>
      </c>
      <c r="I106" s="1">
        <v>0</v>
      </c>
      <c r="J106" s="1">
        <v>0</v>
      </c>
      <c r="K106" s="8" t="s">
        <v>557</v>
      </c>
    </row>
    <row r="107" spans="1:11" x14ac:dyDescent="0.3">
      <c r="A107" s="1">
        <v>106</v>
      </c>
      <c r="B107" s="1">
        <v>10057</v>
      </c>
      <c r="C107" s="5" t="s">
        <v>140</v>
      </c>
      <c r="D107" s="1" t="s">
        <v>565</v>
      </c>
      <c r="E107" s="8" t="s">
        <v>12</v>
      </c>
      <c r="F107" s="5" t="str">
        <f>_xlfn.XLOOKUP(B107,'May 2025'!B:B,'June 2025'!F:F)</f>
        <v>Manufacturing</v>
      </c>
      <c r="G107" s="1">
        <v>22000</v>
      </c>
      <c r="H107" s="1">
        <v>22000</v>
      </c>
      <c r="I107" s="1">
        <v>0</v>
      </c>
      <c r="J107" s="1">
        <v>0</v>
      </c>
      <c r="K107" s="8" t="str">
        <f>_xlfn.XLOOKUP(B107,'May 2025'!B:B,'May 2025'!K:K)</f>
        <v>L-9</v>
      </c>
    </row>
    <row r="108" spans="1:11" x14ac:dyDescent="0.3">
      <c r="A108" s="1">
        <v>107</v>
      </c>
      <c r="B108" s="1">
        <v>169</v>
      </c>
      <c r="C108" s="5" t="s">
        <v>141</v>
      </c>
      <c r="D108" s="1" t="s">
        <v>565</v>
      </c>
      <c r="E108" s="8" t="s">
        <v>61</v>
      </c>
      <c r="F108" s="5" t="str">
        <f>_xlfn.XLOOKUP('April 2025'!C108,'January 2025'!C:C,'January 2025'!F:F)</f>
        <v>Manufacturing</v>
      </c>
      <c r="G108" s="1">
        <v>13500</v>
      </c>
      <c r="H108" s="1">
        <v>13500</v>
      </c>
      <c r="I108" s="1">
        <v>0</v>
      </c>
      <c r="J108" s="1">
        <v>0</v>
      </c>
      <c r="K108" s="8" t="s">
        <v>556</v>
      </c>
    </row>
    <row r="109" spans="1:11" x14ac:dyDescent="0.3">
      <c r="A109" s="1">
        <v>108</v>
      </c>
      <c r="B109" s="1">
        <v>10059</v>
      </c>
      <c r="C109" s="5" t="s">
        <v>142</v>
      </c>
      <c r="D109" s="1" t="s">
        <v>565</v>
      </c>
      <c r="E109" s="8" t="s">
        <v>53</v>
      </c>
      <c r="F109" s="5" t="str">
        <f>_xlfn.XLOOKUP('April 2025'!C109,'January 2025'!C:C,'January 2025'!F:F)</f>
        <v>Manufacturing</v>
      </c>
      <c r="G109" s="1">
        <v>11000</v>
      </c>
      <c r="H109" s="1">
        <v>11000</v>
      </c>
      <c r="I109" s="1">
        <v>0</v>
      </c>
      <c r="J109" s="1">
        <v>0</v>
      </c>
      <c r="K109" s="8" t="s">
        <v>557</v>
      </c>
    </row>
    <row r="110" spans="1:11" x14ac:dyDescent="0.3">
      <c r="A110" s="1">
        <v>109</v>
      </c>
      <c r="B110" s="1">
        <v>173</v>
      </c>
      <c r="C110" s="5" t="s">
        <v>143</v>
      </c>
      <c r="D110" s="1" t="s">
        <v>565</v>
      </c>
      <c r="E110" s="8" t="s">
        <v>53</v>
      </c>
      <c r="F110" s="5" t="str">
        <f>_xlfn.XLOOKUP('April 2025'!C110,'January 2025'!C:C,'January 2025'!F:F)</f>
        <v>Manufacturing</v>
      </c>
      <c r="G110" s="1">
        <v>11000</v>
      </c>
      <c r="H110" s="1">
        <v>11000</v>
      </c>
      <c r="I110" s="1">
        <v>0</v>
      </c>
      <c r="J110" s="1">
        <v>0</v>
      </c>
      <c r="K110" s="8" t="s">
        <v>557</v>
      </c>
    </row>
    <row r="111" spans="1:11" x14ac:dyDescent="0.3">
      <c r="A111" s="1">
        <v>110</v>
      </c>
      <c r="B111" s="1">
        <v>10061</v>
      </c>
      <c r="C111" s="5" t="s">
        <v>144</v>
      </c>
      <c r="D111" s="1" t="s">
        <v>565</v>
      </c>
      <c r="E111" s="8" t="s">
        <v>8</v>
      </c>
      <c r="F111" s="5" t="str">
        <f>_xlfn.XLOOKUP(B111,'May 2025'!B:B,'June 2025'!F:F)</f>
        <v>Domestic</v>
      </c>
      <c r="G111" s="1">
        <v>8800</v>
      </c>
      <c r="H111" s="1">
        <v>8800</v>
      </c>
      <c r="I111" s="1">
        <v>0</v>
      </c>
      <c r="J111" s="1">
        <v>0</v>
      </c>
      <c r="K111" s="8" t="str">
        <f>_xlfn.XLOOKUP(B111,'May 2025'!B:B,'May 2025'!K:K)</f>
        <v>L-9</v>
      </c>
    </row>
    <row r="112" spans="1:11" x14ac:dyDescent="0.3">
      <c r="A112" s="1">
        <v>111</v>
      </c>
      <c r="B112" s="1">
        <v>10062</v>
      </c>
      <c r="C112" s="5" t="s">
        <v>145</v>
      </c>
      <c r="D112" s="1" t="s">
        <v>565</v>
      </c>
      <c r="E112" s="8" t="s">
        <v>53</v>
      </c>
      <c r="F112" s="5" t="str">
        <f>_xlfn.XLOOKUP(B112,'May 2025'!B:B,'June 2025'!F:F)</f>
        <v>Manufacturing</v>
      </c>
      <c r="G112" s="1">
        <v>10500</v>
      </c>
      <c r="H112" s="1">
        <v>10500</v>
      </c>
      <c r="I112" s="1">
        <v>0</v>
      </c>
      <c r="J112" s="1">
        <v>0</v>
      </c>
      <c r="K112" s="8" t="str">
        <f>_xlfn.XLOOKUP(B112,'May 2025'!B:B,'May 2025'!K:K)</f>
        <v>L-10</v>
      </c>
    </row>
    <row r="113" spans="1:11" x14ac:dyDescent="0.3">
      <c r="A113" s="1">
        <v>112</v>
      </c>
      <c r="B113" s="1">
        <v>10063</v>
      </c>
      <c r="C113" s="5" t="s">
        <v>146</v>
      </c>
      <c r="D113" s="1" t="s">
        <v>565</v>
      </c>
      <c r="E113" s="8" t="s">
        <v>53</v>
      </c>
      <c r="F113" s="5" t="str">
        <f>_xlfn.XLOOKUP(B113,'May 2025'!B:B,'June 2025'!F:F)</f>
        <v>Manufacturing</v>
      </c>
      <c r="G113" s="1">
        <v>11000</v>
      </c>
      <c r="H113" s="1">
        <v>11000</v>
      </c>
      <c r="I113" s="1">
        <v>0</v>
      </c>
      <c r="J113" s="1">
        <v>0</v>
      </c>
      <c r="K113" s="8" t="str">
        <f>_xlfn.XLOOKUP(B113,'May 2025'!B:B,'May 2025'!K:K)</f>
        <v>L-10</v>
      </c>
    </row>
    <row r="114" spans="1:11" x14ac:dyDescent="0.3">
      <c r="A114" s="1">
        <v>113</v>
      </c>
      <c r="B114" s="1">
        <v>10064</v>
      </c>
      <c r="C114" s="5" t="s">
        <v>147</v>
      </c>
      <c r="D114" s="1" t="s">
        <v>565</v>
      </c>
      <c r="E114" s="8" t="s">
        <v>35</v>
      </c>
      <c r="F114" s="5" t="str">
        <f>_xlfn.XLOOKUP(B114,'May 2025'!B:B,'June 2025'!F:F)</f>
        <v>Manufacturing</v>
      </c>
      <c r="G114" s="1">
        <v>13500</v>
      </c>
      <c r="H114" s="1">
        <v>13500</v>
      </c>
      <c r="I114" s="1">
        <v>0</v>
      </c>
      <c r="J114" s="1">
        <v>0</v>
      </c>
      <c r="K114" s="8" t="str">
        <f>_xlfn.XLOOKUP(B114,'May 2025'!B:B,'May 2025'!K:K)</f>
        <v>L-9</v>
      </c>
    </row>
    <row r="115" spans="1:11" x14ac:dyDescent="0.3">
      <c r="A115" s="1">
        <v>114</v>
      </c>
      <c r="B115" s="1">
        <v>10065</v>
      </c>
      <c r="C115" s="5" t="s">
        <v>148</v>
      </c>
      <c r="D115" s="1" t="s">
        <v>565</v>
      </c>
      <c r="E115" s="8" t="s">
        <v>35</v>
      </c>
      <c r="F115" s="5" t="str">
        <f>_xlfn.XLOOKUP('April 2025'!C115,'January 2025'!C:C,'January 2025'!F:F)</f>
        <v>Manufacturing</v>
      </c>
      <c r="G115" s="1">
        <v>11500</v>
      </c>
      <c r="H115" s="1">
        <v>11500</v>
      </c>
      <c r="I115" s="1">
        <v>0</v>
      </c>
      <c r="J115" s="1">
        <v>0</v>
      </c>
      <c r="K115" s="8" t="s">
        <v>556</v>
      </c>
    </row>
    <row r="116" spans="1:11" x14ac:dyDescent="0.3">
      <c r="A116" s="1">
        <v>115</v>
      </c>
      <c r="B116" s="1">
        <v>10066</v>
      </c>
      <c r="C116" s="5" t="s">
        <v>149</v>
      </c>
      <c r="D116" s="1" t="s">
        <v>565</v>
      </c>
      <c r="E116" s="8" t="s">
        <v>35</v>
      </c>
      <c r="F116" s="5" t="str">
        <f>_xlfn.XLOOKUP('April 2025'!C116,'January 2025'!C:C,'January 2025'!F:F)</f>
        <v>Manufacturing</v>
      </c>
      <c r="G116" s="1">
        <v>12500</v>
      </c>
      <c r="H116" s="1">
        <v>12500</v>
      </c>
      <c r="I116" s="1">
        <v>0</v>
      </c>
      <c r="J116" s="1">
        <v>0</v>
      </c>
      <c r="K116" s="8" t="s">
        <v>556</v>
      </c>
    </row>
    <row r="117" spans="1:11" x14ac:dyDescent="0.3">
      <c r="A117" s="1">
        <v>116</v>
      </c>
      <c r="B117" s="1">
        <v>10067</v>
      </c>
      <c r="C117" s="5" t="s">
        <v>40</v>
      </c>
      <c r="D117" s="1" t="s">
        <v>565</v>
      </c>
      <c r="E117" s="8" t="s">
        <v>61</v>
      </c>
      <c r="F117" s="5" t="str">
        <f>_xlfn.XLOOKUP(C117,'[1]April 2025'!$C:$C,'[1]April 2025'!$I:$I,"")</f>
        <v>Manufacturing</v>
      </c>
      <c r="G117" s="1">
        <v>11500</v>
      </c>
      <c r="H117" s="1">
        <v>11500</v>
      </c>
      <c r="I117" s="1">
        <v>0</v>
      </c>
      <c r="J117" s="1">
        <v>0</v>
      </c>
      <c r="K117" s="8" t="s">
        <v>556</v>
      </c>
    </row>
    <row r="118" spans="1:11" x14ac:dyDescent="0.3">
      <c r="A118" s="1">
        <v>117</v>
      </c>
      <c r="B118" s="1">
        <v>10068</v>
      </c>
      <c r="C118" s="5" t="s">
        <v>150</v>
      </c>
      <c r="D118" s="1" t="s">
        <v>565</v>
      </c>
      <c r="E118" s="8" t="s">
        <v>53</v>
      </c>
      <c r="F118" s="5" t="str">
        <f>_xlfn.XLOOKUP(B118,'May 2025'!B:B,'June 2025'!F:F)</f>
        <v>Manufacturing</v>
      </c>
      <c r="G118" s="1">
        <v>13500</v>
      </c>
      <c r="H118" s="1">
        <v>13500</v>
      </c>
      <c r="I118" s="1">
        <v>0</v>
      </c>
      <c r="J118" s="1">
        <v>0</v>
      </c>
      <c r="K118" s="8" t="str">
        <f>_xlfn.XLOOKUP(B118,'May 2025'!B:B,'May 2025'!K:K)</f>
        <v>L-10</v>
      </c>
    </row>
    <row r="119" spans="1:11" x14ac:dyDescent="0.3">
      <c r="A119" s="1">
        <v>118</v>
      </c>
      <c r="B119" s="1">
        <v>10069</v>
      </c>
      <c r="C119" s="5" t="s">
        <v>151</v>
      </c>
      <c r="D119" s="1" t="s">
        <v>565</v>
      </c>
      <c r="E119" s="8" t="s">
        <v>35</v>
      </c>
      <c r="F119" s="5" t="str">
        <f>_xlfn.XLOOKUP(B119,'May 2025'!B:B,'June 2025'!F:F)</f>
        <v>Manufacturing</v>
      </c>
      <c r="G119" s="1">
        <v>13000</v>
      </c>
      <c r="H119" s="1">
        <v>13000</v>
      </c>
      <c r="I119" s="1">
        <v>0</v>
      </c>
      <c r="J119" s="1">
        <v>0</v>
      </c>
      <c r="K119" s="8" t="str">
        <f>_xlfn.XLOOKUP(B119,'May 2025'!B:B,'May 2025'!K:K)</f>
        <v>L-9</v>
      </c>
    </row>
    <row r="120" spans="1:11" x14ac:dyDescent="0.3">
      <c r="A120" s="1">
        <v>119</v>
      </c>
      <c r="B120" s="1">
        <v>10070</v>
      </c>
      <c r="C120" s="5" t="s">
        <v>152</v>
      </c>
      <c r="D120" s="1" t="s">
        <v>565</v>
      </c>
      <c r="E120" s="8" t="s">
        <v>35</v>
      </c>
      <c r="F120" s="5" t="str">
        <f>_xlfn.XLOOKUP(B120,'May 2025'!B:B,'June 2025'!F:F)</f>
        <v>Domestic</v>
      </c>
      <c r="G120" s="1">
        <v>13500</v>
      </c>
      <c r="H120" s="1">
        <v>13500</v>
      </c>
      <c r="I120" s="1">
        <v>0</v>
      </c>
      <c r="J120" s="1">
        <v>0</v>
      </c>
      <c r="K120" s="8" t="str">
        <f>_xlfn.XLOOKUP(B120,'May 2025'!B:B,'May 2025'!K:K)</f>
        <v>L-9</v>
      </c>
    </row>
    <row r="121" spans="1:11" x14ac:dyDescent="0.3">
      <c r="A121" s="1">
        <v>120</v>
      </c>
      <c r="B121" s="1">
        <v>10071</v>
      </c>
      <c r="C121" s="5" t="s">
        <v>153</v>
      </c>
      <c r="D121" s="1" t="s">
        <v>565</v>
      </c>
      <c r="E121" s="8" t="s">
        <v>61</v>
      </c>
      <c r="F121" s="5" t="str">
        <f>_xlfn.XLOOKUP('April 2025'!C121,'January 2025'!C:C,'January 2025'!F:F)</f>
        <v>Manufacturing</v>
      </c>
      <c r="G121" s="1">
        <v>12000</v>
      </c>
      <c r="H121" s="1">
        <v>12000</v>
      </c>
      <c r="I121" s="1">
        <v>0</v>
      </c>
      <c r="J121" s="1">
        <v>0</v>
      </c>
      <c r="K121" s="8" t="s">
        <v>556</v>
      </c>
    </row>
    <row r="122" spans="1:11" x14ac:dyDescent="0.3">
      <c r="A122" s="1">
        <v>121</v>
      </c>
      <c r="B122" s="1">
        <v>186</v>
      </c>
      <c r="C122" s="5" t="s">
        <v>154</v>
      </c>
      <c r="D122" s="1" t="s">
        <v>565</v>
      </c>
      <c r="E122" s="8" t="s">
        <v>53</v>
      </c>
      <c r="F122" s="5" t="str">
        <f>_xlfn.XLOOKUP('April 2025'!C122,'January 2025'!C:C,'January 2025'!F:F)</f>
        <v>Manufacturing</v>
      </c>
      <c r="G122" s="1">
        <v>11000</v>
      </c>
      <c r="H122" s="1">
        <v>11000</v>
      </c>
      <c r="I122" s="1">
        <v>0</v>
      </c>
      <c r="J122" s="1">
        <v>0</v>
      </c>
      <c r="K122" s="8" t="s">
        <v>557</v>
      </c>
    </row>
    <row r="123" spans="1:11" x14ac:dyDescent="0.3">
      <c r="A123" s="1">
        <v>122</v>
      </c>
      <c r="B123" s="1">
        <v>188</v>
      </c>
      <c r="C123" s="5" t="s">
        <v>155</v>
      </c>
      <c r="D123" s="1" t="s">
        <v>565</v>
      </c>
      <c r="E123" s="8" t="s">
        <v>61</v>
      </c>
      <c r="F123" s="5" t="str">
        <f>_xlfn.XLOOKUP('April 2025'!C123,'January 2025'!C:C,'January 2025'!F:F)</f>
        <v>Manufacturing</v>
      </c>
      <c r="G123" s="1">
        <v>11000</v>
      </c>
      <c r="H123" s="1">
        <v>11000</v>
      </c>
      <c r="I123" s="1">
        <v>0</v>
      </c>
      <c r="J123" s="1">
        <v>0</v>
      </c>
      <c r="K123" s="8" t="s">
        <v>556</v>
      </c>
    </row>
    <row r="124" spans="1:11" x14ac:dyDescent="0.3">
      <c r="A124" s="1">
        <v>123</v>
      </c>
      <c r="B124" s="1">
        <v>10074</v>
      </c>
      <c r="C124" s="5" t="s">
        <v>95</v>
      </c>
      <c r="D124" s="1" t="s">
        <v>565</v>
      </c>
      <c r="E124" s="8" t="s">
        <v>53</v>
      </c>
      <c r="F124" s="5" t="str">
        <f>_xlfn.XLOOKUP(B124,'May 2025'!B:B,'June 2025'!F:F)</f>
        <v>Manufacturing</v>
      </c>
      <c r="G124" s="1">
        <v>11000</v>
      </c>
      <c r="H124" s="1">
        <v>11000</v>
      </c>
      <c r="I124" s="1">
        <v>0</v>
      </c>
      <c r="J124" s="1">
        <v>0</v>
      </c>
      <c r="K124" s="8" t="str">
        <f>_xlfn.XLOOKUP(B124,'May 2025'!B:B,'May 2025'!K:K)</f>
        <v>L-9</v>
      </c>
    </row>
    <row r="125" spans="1:11" x14ac:dyDescent="0.3">
      <c r="A125" s="1">
        <v>124</v>
      </c>
      <c r="B125" s="1">
        <v>190</v>
      </c>
      <c r="C125" s="5" t="s">
        <v>156</v>
      </c>
      <c r="D125" s="1" t="s">
        <v>565</v>
      </c>
      <c r="E125" s="8" t="s">
        <v>35</v>
      </c>
      <c r="F125" s="5" t="str">
        <f>_xlfn.XLOOKUP('April 2025'!C125,'January 2025'!C:C,'January 2025'!F:F)</f>
        <v>Manufacturing</v>
      </c>
      <c r="G125" s="1">
        <v>8500</v>
      </c>
      <c r="H125" s="1">
        <v>8500</v>
      </c>
      <c r="I125" s="1">
        <v>0</v>
      </c>
      <c r="J125" s="1">
        <v>0</v>
      </c>
      <c r="K125" s="8" t="s">
        <v>556</v>
      </c>
    </row>
    <row r="126" spans="1:11" x14ac:dyDescent="0.3">
      <c r="A126" s="1">
        <v>125</v>
      </c>
      <c r="B126" s="1">
        <v>10076</v>
      </c>
      <c r="C126" s="5" t="s">
        <v>157</v>
      </c>
      <c r="D126" s="1" t="s">
        <v>565</v>
      </c>
      <c r="E126" s="8" t="s">
        <v>61</v>
      </c>
      <c r="F126" s="5" t="str">
        <f>_xlfn.XLOOKUP(B126,'May 2025'!B:B,'June 2025'!F:F)</f>
        <v>Manufacturing</v>
      </c>
      <c r="G126" s="1">
        <v>12500</v>
      </c>
      <c r="H126" s="1">
        <v>12500</v>
      </c>
      <c r="I126" s="1">
        <v>0</v>
      </c>
      <c r="J126" s="1">
        <v>0</v>
      </c>
      <c r="K126" s="8" t="str">
        <f>_xlfn.XLOOKUP(B126,'May 2025'!B:B,'May 2025'!K:K)</f>
        <v>L-9</v>
      </c>
    </row>
    <row r="127" spans="1:11" x14ac:dyDescent="0.3">
      <c r="A127" s="1">
        <v>126</v>
      </c>
      <c r="B127" s="1">
        <v>192</v>
      </c>
      <c r="C127" s="5" t="s">
        <v>158</v>
      </c>
      <c r="D127" s="1" t="s">
        <v>565</v>
      </c>
      <c r="E127" s="8" t="s">
        <v>35</v>
      </c>
      <c r="F127" s="5" t="str">
        <f>_xlfn.XLOOKUP('April 2025'!C127,'January 2025'!C:C,'January 2025'!F:F)</f>
        <v>Manufacturing</v>
      </c>
      <c r="G127" s="1">
        <v>8000</v>
      </c>
      <c r="H127" s="1">
        <v>8000</v>
      </c>
      <c r="I127" s="1">
        <v>0</v>
      </c>
      <c r="J127" s="1">
        <v>0</v>
      </c>
      <c r="K127" s="8" t="s">
        <v>556</v>
      </c>
    </row>
    <row r="128" spans="1:11" x14ac:dyDescent="0.3">
      <c r="A128" s="1">
        <v>127</v>
      </c>
      <c r="B128" s="1">
        <v>10078</v>
      </c>
      <c r="C128" s="5" t="s">
        <v>159</v>
      </c>
      <c r="D128" s="1" t="s">
        <v>565</v>
      </c>
      <c r="E128" s="8" t="s">
        <v>12</v>
      </c>
      <c r="F128" s="5" t="str">
        <f>_xlfn.XLOOKUP(B128,'May 2025'!B:B,'June 2025'!F:F)</f>
        <v>Manufacturing</v>
      </c>
      <c r="G128" s="1">
        <v>19000</v>
      </c>
      <c r="H128" s="1">
        <v>19000</v>
      </c>
      <c r="I128" s="1">
        <v>0</v>
      </c>
      <c r="J128" s="1">
        <v>0</v>
      </c>
      <c r="K128" s="8" t="str">
        <f>_xlfn.XLOOKUP(B128,'May 2025'!B:B,'May 2025'!K:K)</f>
        <v>L-9</v>
      </c>
    </row>
    <row r="129" spans="1:11" x14ac:dyDescent="0.3">
      <c r="A129" s="1">
        <v>128</v>
      </c>
      <c r="B129" s="1">
        <v>10079</v>
      </c>
      <c r="C129" s="5" t="s">
        <v>160</v>
      </c>
      <c r="D129" s="1" t="s">
        <v>565</v>
      </c>
      <c r="E129" s="8" t="s">
        <v>35</v>
      </c>
      <c r="F129" s="5" t="str">
        <f>_xlfn.XLOOKUP('April 2025'!C129,'January 2025'!C:C,'January 2025'!F:F)</f>
        <v>Manufacturing</v>
      </c>
      <c r="G129" s="1">
        <v>11500</v>
      </c>
      <c r="H129" s="1">
        <v>11500</v>
      </c>
      <c r="I129" s="1">
        <v>0</v>
      </c>
      <c r="J129" s="1">
        <v>0</v>
      </c>
      <c r="K129" s="8" t="s">
        <v>556</v>
      </c>
    </row>
    <row r="130" spans="1:11" x14ac:dyDescent="0.3">
      <c r="A130" s="1">
        <v>129</v>
      </c>
      <c r="B130" s="1">
        <v>10080</v>
      </c>
      <c r="C130" s="5" t="s">
        <v>161</v>
      </c>
      <c r="D130" s="1" t="s">
        <v>565</v>
      </c>
      <c r="E130" s="8" t="s">
        <v>35</v>
      </c>
      <c r="F130" s="5" t="str">
        <f>_xlfn.XLOOKUP('April 2025'!C130,'January 2025'!C:C,'January 2025'!F:F)</f>
        <v>Manufacturing</v>
      </c>
      <c r="G130" s="1">
        <v>13000</v>
      </c>
      <c r="H130" s="1">
        <v>13000</v>
      </c>
      <c r="I130" s="1">
        <v>0</v>
      </c>
      <c r="J130" s="1">
        <v>0</v>
      </c>
      <c r="K130" s="8" t="s">
        <v>556</v>
      </c>
    </row>
    <row r="131" spans="1:11" x14ac:dyDescent="0.3">
      <c r="A131" s="1">
        <v>130</v>
      </c>
      <c r="B131" s="1">
        <v>10081</v>
      </c>
      <c r="C131" s="5" t="s">
        <v>162</v>
      </c>
      <c r="D131" s="1" t="s">
        <v>565</v>
      </c>
      <c r="E131" s="8" t="s">
        <v>35</v>
      </c>
      <c r="F131" s="5" t="str">
        <f>_xlfn.XLOOKUP('April 2025'!C131,'January 2025'!C:C,'January 2025'!F:F)</f>
        <v>Manufacturing</v>
      </c>
      <c r="G131" s="1">
        <v>13000</v>
      </c>
      <c r="H131" s="1">
        <v>13000</v>
      </c>
      <c r="I131" s="1">
        <v>0</v>
      </c>
      <c r="J131" s="1">
        <v>0</v>
      </c>
      <c r="K131" s="8" t="s">
        <v>556</v>
      </c>
    </row>
    <row r="132" spans="1:11" x14ac:dyDescent="0.3">
      <c r="A132" s="1">
        <v>131</v>
      </c>
      <c r="B132" s="1">
        <v>197</v>
      </c>
      <c r="C132" s="5" t="s">
        <v>163</v>
      </c>
      <c r="D132" s="1" t="s">
        <v>565</v>
      </c>
      <c r="E132" s="8" t="s">
        <v>35</v>
      </c>
      <c r="F132" s="5" t="str">
        <f>_xlfn.XLOOKUP('April 2025'!C132,'January 2025'!C:C,'January 2025'!F:F)</f>
        <v>Manufacturing</v>
      </c>
      <c r="G132" s="1">
        <v>13000</v>
      </c>
      <c r="H132" s="1">
        <v>13000</v>
      </c>
      <c r="I132" s="1">
        <v>0</v>
      </c>
      <c r="J132" s="1">
        <v>0</v>
      </c>
      <c r="K132" s="8" t="s">
        <v>556</v>
      </c>
    </row>
    <row r="133" spans="1:11" x14ac:dyDescent="0.3">
      <c r="A133" s="1">
        <v>132</v>
      </c>
      <c r="B133" s="1">
        <v>10083</v>
      </c>
      <c r="C133" s="5" t="s">
        <v>164</v>
      </c>
      <c r="D133" s="1" t="s">
        <v>565</v>
      </c>
      <c r="E133" s="8" t="s">
        <v>35</v>
      </c>
      <c r="F133" s="5" t="str">
        <f>_xlfn.XLOOKUP('April 2025'!C133,'January 2025'!C:C,'January 2025'!F:F)</f>
        <v>Manufacturing</v>
      </c>
      <c r="G133" s="1">
        <v>12500</v>
      </c>
      <c r="H133" s="1">
        <v>12500</v>
      </c>
      <c r="I133" s="1">
        <v>0</v>
      </c>
      <c r="J133" s="1">
        <v>0</v>
      </c>
      <c r="K133" s="8" t="s">
        <v>556</v>
      </c>
    </row>
    <row r="134" spans="1:11" x14ac:dyDescent="0.3">
      <c r="A134" s="1">
        <v>133</v>
      </c>
      <c r="B134" s="1">
        <v>10084</v>
      </c>
      <c r="C134" s="5" t="s">
        <v>165</v>
      </c>
      <c r="D134" s="1" t="s">
        <v>565</v>
      </c>
      <c r="E134" s="8" t="s">
        <v>35</v>
      </c>
      <c r="F134" s="5" t="str">
        <f>_xlfn.XLOOKUP(C134,'[1]April 2025'!$C:$C,'[1]April 2025'!$I:$I,"")</f>
        <v>Manufacturing</v>
      </c>
      <c r="G134" s="1">
        <v>12000</v>
      </c>
      <c r="H134" s="1">
        <v>12000</v>
      </c>
      <c r="I134" s="1">
        <v>0</v>
      </c>
      <c r="J134" s="1">
        <v>0</v>
      </c>
      <c r="K134" s="8" t="s">
        <v>556</v>
      </c>
    </row>
    <row r="135" spans="1:11" x14ac:dyDescent="0.3">
      <c r="A135" s="1">
        <v>134</v>
      </c>
      <c r="B135" s="1">
        <v>10085</v>
      </c>
      <c r="C135" s="5" t="s">
        <v>166</v>
      </c>
      <c r="D135" s="1" t="s">
        <v>565</v>
      </c>
      <c r="E135" s="8" t="s">
        <v>35</v>
      </c>
      <c r="F135" s="5" t="str">
        <f>_xlfn.XLOOKUP('April 2025'!C135,'January 2025'!C:C,'January 2025'!F:F)</f>
        <v>Manufacturing</v>
      </c>
      <c r="G135" s="1">
        <v>11000</v>
      </c>
      <c r="H135" s="1">
        <v>11000</v>
      </c>
      <c r="I135" s="1">
        <v>0</v>
      </c>
      <c r="J135" s="1">
        <v>0</v>
      </c>
      <c r="K135" s="8" t="s">
        <v>556</v>
      </c>
    </row>
    <row r="136" spans="1:11" x14ac:dyDescent="0.3">
      <c r="A136" s="1">
        <v>135</v>
      </c>
      <c r="B136" s="1">
        <v>201</v>
      </c>
      <c r="C136" s="5" t="s">
        <v>167</v>
      </c>
      <c r="D136" s="1" t="s">
        <v>565</v>
      </c>
      <c r="E136" s="8" t="s">
        <v>61</v>
      </c>
      <c r="F136" s="5" t="str">
        <f>_xlfn.XLOOKUP('April 2025'!C136,'January 2025'!C:C,'January 2025'!F:F)</f>
        <v>Manufacturing</v>
      </c>
      <c r="G136" s="1">
        <v>11000</v>
      </c>
      <c r="H136" s="1">
        <v>11000</v>
      </c>
      <c r="I136" s="1">
        <v>0</v>
      </c>
      <c r="J136" s="1">
        <v>0</v>
      </c>
      <c r="K136" s="8" t="s">
        <v>556</v>
      </c>
    </row>
    <row r="137" spans="1:11" x14ac:dyDescent="0.3">
      <c r="A137" s="1">
        <v>136</v>
      </c>
      <c r="B137" s="1">
        <v>10087</v>
      </c>
      <c r="C137" s="5" t="s">
        <v>168</v>
      </c>
      <c r="D137" s="1" t="s">
        <v>565</v>
      </c>
      <c r="E137" s="8" t="s">
        <v>53</v>
      </c>
      <c r="F137" s="5" t="str">
        <f>_xlfn.XLOOKUP('April 2025'!C137,'January 2025'!C:C,'January 2025'!F:F)</f>
        <v>Manufacturing</v>
      </c>
      <c r="G137" s="1">
        <v>11000</v>
      </c>
      <c r="H137" s="1">
        <v>11000</v>
      </c>
      <c r="I137" s="1">
        <v>0</v>
      </c>
      <c r="J137" s="1">
        <v>0</v>
      </c>
      <c r="K137" s="8" t="s">
        <v>557</v>
      </c>
    </row>
    <row r="138" spans="1:11" x14ac:dyDescent="0.3">
      <c r="A138" s="1">
        <v>137</v>
      </c>
      <c r="B138" s="1">
        <v>10086</v>
      </c>
      <c r="C138" s="5" t="s">
        <v>169</v>
      </c>
      <c r="D138" s="1" t="s">
        <v>565</v>
      </c>
      <c r="E138" s="8" t="s">
        <v>35</v>
      </c>
      <c r="F138" s="5" t="str">
        <f>_xlfn.XLOOKUP('April 2025'!C138,'January 2025'!C:C,'January 2025'!F:F)</f>
        <v>Manufacturing</v>
      </c>
      <c r="G138" s="1">
        <v>12000</v>
      </c>
      <c r="H138" s="1">
        <v>12000</v>
      </c>
      <c r="I138" s="1">
        <v>0</v>
      </c>
      <c r="J138" s="1">
        <v>0</v>
      </c>
      <c r="K138" s="8" t="s">
        <v>556</v>
      </c>
    </row>
    <row r="139" spans="1:11" x14ac:dyDescent="0.3">
      <c r="A139" s="1">
        <v>138</v>
      </c>
      <c r="B139" s="1">
        <v>204</v>
      </c>
      <c r="C139" s="5" t="s">
        <v>98</v>
      </c>
      <c r="D139" s="1" t="s">
        <v>565</v>
      </c>
      <c r="E139" s="8" t="s">
        <v>53</v>
      </c>
      <c r="F139" s="5" t="str">
        <f>_xlfn.XLOOKUP(C139,'[1]April 2025'!$C:$C,'[1]April 2025'!$I:$I,"")</f>
        <v>Domestic</v>
      </c>
      <c r="G139" s="1">
        <v>11000</v>
      </c>
      <c r="H139" s="1">
        <v>11000</v>
      </c>
      <c r="I139" s="1">
        <v>0</v>
      </c>
      <c r="J139" s="1">
        <v>0</v>
      </c>
      <c r="K139" s="8" t="s">
        <v>557</v>
      </c>
    </row>
    <row r="140" spans="1:11" x14ac:dyDescent="0.3">
      <c r="A140" s="1">
        <v>139</v>
      </c>
      <c r="B140" s="1">
        <v>10082</v>
      </c>
      <c r="C140" s="5" t="s">
        <v>170</v>
      </c>
      <c r="D140" s="1" t="s">
        <v>565</v>
      </c>
      <c r="E140" s="8" t="s">
        <v>53</v>
      </c>
      <c r="F140" s="5" t="str">
        <f>_xlfn.XLOOKUP('April 2025'!C140,'January 2025'!C:C,'January 2025'!F:F)</f>
        <v>Manufacturing</v>
      </c>
      <c r="G140" s="1">
        <v>11000</v>
      </c>
      <c r="H140" s="1">
        <v>11000</v>
      </c>
      <c r="I140" s="1">
        <v>0</v>
      </c>
      <c r="J140" s="1">
        <v>0</v>
      </c>
      <c r="K140" s="8" t="s">
        <v>557</v>
      </c>
    </row>
    <row r="141" spans="1:11" x14ac:dyDescent="0.3">
      <c r="A141" s="1">
        <v>140</v>
      </c>
      <c r="B141" s="1">
        <v>102</v>
      </c>
      <c r="C141" s="5" t="s">
        <v>171</v>
      </c>
      <c r="D141" s="1" t="s">
        <v>565</v>
      </c>
      <c r="E141" s="8" t="s">
        <v>53</v>
      </c>
      <c r="F141" s="5" t="str">
        <f>_xlfn.XLOOKUP('April 2025'!C141,'January 2025'!C:C,'January 2025'!F:F)</f>
        <v>Manufacturing</v>
      </c>
      <c r="G141" s="1">
        <v>10000</v>
      </c>
      <c r="H141" s="1">
        <v>10000</v>
      </c>
      <c r="I141" s="1">
        <v>0</v>
      </c>
      <c r="J141" s="1">
        <v>0</v>
      </c>
      <c r="K141" s="8" t="s">
        <v>557</v>
      </c>
    </row>
    <row r="142" spans="1:11" x14ac:dyDescent="0.3">
      <c r="A142" s="1">
        <v>141</v>
      </c>
      <c r="B142" s="1">
        <v>103</v>
      </c>
      <c r="C142" s="5" t="s">
        <v>172</v>
      </c>
      <c r="D142" s="1" t="s">
        <v>565</v>
      </c>
      <c r="E142" s="8" t="s">
        <v>35</v>
      </c>
      <c r="F142" s="5" t="str">
        <f>_xlfn.XLOOKUP(B142,'May 2025'!B:B,'June 2025'!F:F)</f>
        <v>Manufacturing</v>
      </c>
      <c r="G142" s="1">
        <v>12000</v>
      </c>
      <c r="H142" s="1">
        <v>12000</v>
      </c>
      <c r="I142" s="1">
        <v>0</v>
      </c>
      <c r="J142" s="1">
        <v>0</v>
      </c>
      <c r="K142" s="8" t="str">
        <f>_xlfn.XLOOKUP(B142,'May 2025'!B:B,'May 2025'!K:K)</f>
        <v>L-9</v>
      </c>
    </row>
    <row r="143" spans="1:11" x14ac:dyDescent="0.3">
      <c r="A143" s="1">
        <v>142</v>
      </c>
      <c r="B143" s="1">
        <v>104</v>
      </c>
      <c r="C143" s="5" t="s">
        <v>173</v>
      </c>
      <c r="D143" s="1" t="s">
        <v>565</v>
      </c>
      <c r="E143" s="8" t="s">
        <v>55</v>
      </c>
      <c r="F143" s="5" t="str">
        <f>_xlfn.XLOOKUP(B143,'May 2025'!B:B,'June 2025'!F:F)</f>
        <v>Domestic</v>
      </c>
      <c r="G143" s="1">
        <v>17500</v>
      </c>
      <c r="H143" s="1">
        <v>17500</v>
      </c>
      <c r="I143" s="1">
        <v>0</v>
      </c>
      <c r="J143" s="1">
        <v>0</v>
      </c>
      <c r="K143" s="8" t="str">
        <f>_xlfn.XLOOKUP(B143,'May 2025'!B:B,'May 2025'!K:K)</f>
        <v>L-5</v>
      </c>
    </row>
    <row r="144" spans="1:11" x14ac:dyDescent="0.3">
      <c r="A144" s="1">
        <v>143</v>
      </c>
      <c r="B144" s="1">
        <v>108</v>
      </c>
      <c r="C144" s="5" t="s">
        <v>174</v>
      </c>
      <c r="D144" s="1" t="s">
        <v>565</v>
      </c>
      <c r="E144" s="8" t="s">
        <v>61</v>
      </c>
      <c r="F144" s="5" t="str">
        <f>_xlfn.XLOOKUP(B144,'May 2025'!B:B,'June 2025'!F:F)</f>
        <v>Domestic</v>
      </c>
      <c r="G144" s="1">
        <v>12000</v>
      </c>
      <c r="H144" s="1">
        <v>12000</v>
      </c>
      <c r="I144" s="1">
        <v>0</v>
      </c>
      <c r="J144" s="1">
        <v>0</v>
      </c>
      <c r="K144" s="8" t="str">
        <f>_xlfn.XLOOKUP(B144,'May 2025'!B:B,'May 2025'!K:K)</f>
        <v>L-5</v>
      </c>
    </row>
    <row r="145" spans="1:11" x14ac:dyDescent="0.3">
      <c r="A145" s="1">
        <v>144</v>
      </c>
      <c r="B145" s="1">
        <v>109</v>
      </c>
      <c r="C145" s="5" t="s">
        <v>175</v>
      </c>
      <c r="D145" s="1" t="s">
        <v>565</v>
      </c>
      <c r="E145" s="8" t="s">
        <v>21</v>
      </c>
      <c r="F145" s="5" t="str">
        <f>_xlfn.XLOOKUP(B145,'May 2025'!B:B,'June 2025'!F:F)</f>
        <v>Domestic</v>
      </c>
      <c r="G145" s="1">
        <v>16200</v>
      </c>
      <c r="H145" s="1">
        <v>16200</v>
      </c>
      <c r="I145" s="1">
        <v>0</v>
      </c>
      <c r="J145" s="1">
        <v>0</v>
      </c>
      <c r="K145" s="8" t="str">
        <f>_xlfn.XLOOKUP(B145,'May 2025'!B:B,'May 2025'!K:K)</f>
        <v>L-6</v>
      </c>
    </row>
    <row r="146" spans="1:11" x14ac:dyDescent="0.3">
      <c r="A146" s="1">
        <v>145</v>
      </c>
      <c r="B146" s="1">
        <v>110</v>
      </c>
      <c r="C146" s="5" t="s">
        <v>176</v>
      </c>
      <c r="D146" s="1" t="s">
        <v>565</v>
      </c>
      <c r="E146" s="8" t="s">
        <v>53</v>
      </c>
      <c r="F146" s="5" t="str">
        <f>_xlfn.XLOOKUP(B146,'May 2025'!B:B,'June 2025'!F:F)</f>
        <v>Overseas</v>
      </c>
      <c r="G146" s="1">
        <v>11500</v>
      </c>
      <c r="H146" s="1">
        <v>11500</v>
      </c>
      <c r="I146" s="1">
        <v>0</v>
      </c>
      <c r="J146" s="1">
        <v>0</v>
      </c>
      <c r="K146" s="8" t="str">
        <f>_xlfn.XLOOKUP(B146,'May 2025'!B:B,'May 2025'!K:K)</f>
        <v>L-6</v>
      </c>
    </row>
    <row r="147" spans="1:11" x14ac:dyDescent="0.3">
      <c r="A147" s="1">
        <v>146</v>
      </c>
      <c r="B147" s="1">
        <v>111</v>
      </c>
      <c r="C147" s="5" t="s">
        <v>177</v>
      </c>
      <c r="D147" s="1" t="s">
        <v>565</v>
      </c>
      <c r="E147" s="8" t="s">
        <v>53</v>
      </c>
      <c r="F147" s="5" t="str">
        <f>_xlfn.XLOOKUP(B147,'May 2025'!B:B,'June 2025'!F:F)</f>
        <v>Manufacturing</v>
      </c>
      <c r="G147" s="1">
        <v>11500</v>
      </c>
      <c r="H147" s="1">
        <v>11500</v>
      </c>
      <c r="I147" s="1">
        <v>0</v>
      </c>
      <c r="J147" s="1">
        <v>0</v>
      </c>
      <c r="K147" s="8" t="str">
        <f>_xlfn.XLOOKUP(B147,'May 2025'!B:B,'May 2025'!K:K)</f>
        <v>L-6</v>
      </c>
    </row>
    <row r="148" spans="1:11" x14ac:dyDescent="0.3">
      <c r="A148" s="1">
        <v>147</v>
      </c>
      <c r="B148" s="1">
        <v>117</v>
      </c>
      <c r="C148" s="5" t="s">
        <v>178</v>
      </c>
      <c r="D148" s="1" t="s">
        <v>565</v>
      </c>
      <c r="E148" s="8" t="s">
        <v>53</v>
      </c>
      <c r="F148" s="5" t="str">
        <f>_xlfn.XLOOKUP('April 2025'!C148,'January 2025'!C:C,'January 2025'!F:F)</f>
        <v>Manufacturing</v>
      </c>
      <c r="G148" s="1">
        <v>10000</v>
      </c>
      <c r="H148" s="1">
        <v>10000</v>
      </c>
      <c r="I148" s="1">
        <v>0</v>
      </c>
      <c r="J148" s="1">
        <v>0</v>
      </c>
      <c r="K148" s="8" t="s">
        <v>557</v>
      </c>
    </row>
    <row r="149" spans="1:11" x14ac:dyDescent="0.3">
      <c r="A149" s="1">
        <v>148</v>
      </c>
      <c r="B149" s="1">
        <v>123</v>
      </c>
      <c r="C149" s="5" t="s">
        <v>179</v>
      </c>
      <c r="D149" s="1" t="s">
        <v>565</v>
      </c>
      <c r="E149" s="8" t="s">
        <v>35</v>
      </c>
      <c r="F149" s="5" t="str">
        <f>_xlfn.XLOOKUP('April 2025'!C149,'January 2025'!C:C,'January 2025'!F:F)</f>
        <v>Manufacturing</v>
      </c>
      <c r="G149" s="1">
        <v>12000</v>
      </c>
      <c r="H149" s="1">
        <v>12000</v>
      </c>
      <c r="I149" s="1">
        <v>0</v>
      </c>
      <c r="J149" s="1">
        <v>0</v>
      </c>
      <c r="K149" s="8" t="s">
        <v>556</v>
      </c>
    </row>
    <row r="150" spans="1:11" x14ac:dyDescent="0.3">
      <c r="A150" s="1">
        <v>149</v>
      </c>
      <c r="B150" s="1">
        <v>131</v>
      </c>
      <c r="C150" s="5" t="s">
        <v>180</v>
      </c>
      <c r="D150" s="1" t="s">
        <v>565</v>
      </c>
      <c r="E150" s="8" t="s">
        <v>53</v>
      </c>
      <c r="F150" s="5" t="str">
        <f>_xlfn.XLOOKUP('April 2025'!C150,'January 2025'!C:C,'January 2025'!F:F)</f>
        <v>Manufacturing</v>
      </c>
      <c r="G150" s="1">
        <v>11500</v>
      </c>
      <c r="H150" s="1">
        <v>11500</v>
      </c>
      <c r="I150" s="1">
        <v>0</v>
      </c>
      <c r="J150" s="1">
        <v>0</v>
      </c>
      <c r="K150" s="8" t="s">
        <v>557</v>
      </c>
    </row>
    <row r="151" spans="1:11" x14ac:dyDescent="0.3">
      <c r="A151" s="1">
        <v>150</v>
      </c>
      <c r="B151" s="1">
        <v>139</v>
      </c>
      <c r="C151" s="5" t="s">
        <v>181</v>
      </c>
      <c r="D151" s="1" t="s">
        <v>565</v>
      </c>
      <c r="E151" s="8" t="s">
        <v>53</v>
      </c>
      <c r="F151" s="5" t="str">
        <f>_xlfn.XLOOKUP('April 2025'!C151,'January 2025'!C:C,'January 2025'!F:F)</f>
        <v>Manufacturing</v>
      </c>
      <c r="G151" s="1">
        <v>11500</v>
      </c>
      <c r="H151" s="1">
        <v>11500</v>
      </c>
      <c r="I151" s="1">
        <v>0</v>
      </c>
      <c r="J151" s="1">
        <v>0</v>
      </c>
      <c r="K151" s="8" t="s">
        <v>557</v>
      </c>
    </row>
    <row r="152" spans="1:11" x14ac:dyDescent="0.3">
      <c r="A152" s="1">
        <v>151</v>
      </c>
      <c r="B152" s="1">
        <v>152</v>
      </c>
      <c r="C152" s="5" t="s">
        <v>182</v>
      </c>
      <c r="D152" s="1" t="s">
        <v>565</v>
      </c>
      <c r="E152" s="8" t="s">
        <v>35</v>
      </c>
      <c r="F152" s="5" t="str">
        <f>_xlfn.XLOOKUP('April 2025'!C152,'January 2025'!C:C,'January 2025'!F:F)</f>
        <v>Manufacturing</v>
      </c>
      <c r="G152" s="1">
        <v>13000</v>
      </c>
      <c r="H152" s="1">
        <v>13000</v>
      </c>
      <c r="I152" s="1">
        <v>0</v>
      </c>
      <c r="J152" s="1">
        <v>0</v>
      </c>
      <c r="K152" s="8" t="s">
        <v>556</v>
      </c>
    </row>
    <row r="153" spans="1:11" x14ac:dyDescent="0.3">
      <c r="A153" s="1">
        <v>152</v>
      </c>
      <c r="B153" s="1">
        <v>153</v>
      </c>
      <c r="C153" s="5" t="s">
        <v>183</v>
      </c>
      <c r="D153" s="1" t="s">
        <v>565</v>
      </c>
      <c r="E153" s="8" t="s">
        <v>35</v>
      </c>
      <c r="F153" s="5" t="str">
        <f>_xlfn.XLOOKUP('April 2025'!C153,'January 2025'!C:C,'January 2025'!F:F)</f>
        <v>Manufacturing</v>
      </c>
      <c r="G153" s="1">
        <v>13500</v>
      </c>
      <c r="H153" s="1">
        <v>13500</v>
      </c>
      <c r="I153" s="1">
        <v>0</v>
      </c>
      <c r="J153" s="1">
        <v>0</v>
      </c>
      <c r="K153" s="8" t="s">
        <v>556</v>
      </c>
    </row>
    <row r="154" spans="1:11" x14ac:dyDescent="0.3">
      <c r="A154" s="1">
        <v>153</v>
      </c>
      <c r="B154" s="1">
        <v>163</v>
      </c>
      <c r="C154" s="5" t="s">
        <v>184</v>
      </c>
      <c r="D154" s="1" t="s">
        <v>565</v>
      </c>
      <c r="E154" s="8" t="s">
        <v>35</v>
      </c>
      <c r="F154" s="5" t="str">
        <f>_xlfn.XLOOKUP('April 2025'!C154,'January 2025'!C:C,'January 2025'!F:F)</f>
        <v>Manufacturing</v>
      </c>
      <c r="G154" s="1">
        <v>11000</v>
      </c>
      <c r="H154" s="1">
        <v>11000</v>
      </c>
      <c r="I154" s="1">
        <v>0</v>
      </c>
      <c r="J154" s="1">
        <v>0</v>
      </c>
      <c r="K154" s="8" t="s">
        <v>556</v>
      </c>
    </row>
    <row r="155" spans="1:11" x14ac:dyDescent="0.3">
      <c r="A155" s="1">
        <v>154</v>
      </c>
      <c r="B155" s="1">
        <v>170</v>
      </c>
      <c r="C155" s="5" t="s">
        <v>72</v>
      </c>
      <c r="D155" s="1" t="s">
        <v>565</v>
      </c>
      <c r="E155" s="8" t="s">
        <v>67</v>
      </c>
      <c r="F155" s="5" t="str">
        <f>_xlfn.XLOOKUP(C155,'[1]April 2025'!$C:$C,'[1]April 2025'!$I:$I,"")</f>
        <v>Manufacturing</v>
      </c>
      <c r="G155" s="1">
        <v>30000</v>
      </c>
      <c r="H155" s="1">
        <v>30000</v>
      </c>
      <c r="I155" s="1">
        <v>0</v>
      </c>
      <c r="J155" s="1">
        <v>0</v>
      </c>
      <c r="K155" s="8" t="s">
        <v>556</v>
      </c>
    </row>
    <row r="156" spans="1:11" x14ac:dyDescent="0.3">
      <c r="A156" s="1">
        <v>155</v>
      </c>
      <c r="B156" s="1">
        <v>171</v>
      </c>
      <c r="C156" s="5" t="s">
        <v>73</v>
      </c>
      <c r="D156" s="1" t="s">
        <v>565</v>
      </c>
      <c r="E156" s="8" t="s">
        <v>67</v>
      </c>
      <c r="F156" s="5" t="str">
        <f>_xlfn.XLOOKUP('April 2025'!C156,'January 2025'!C:C,'January 2025'!F:F)</f>
        <v>Manufacturing</v>
      </c>
      <c r="G156" s="1">
        <v>30000</v>
      </c>
      <c r="H156" s="1">
        <v>30000</v>
      </c>
      <c r="I156" s="1">
        <v>0</v>
      </c>
      <c r="J156" s="1">
        <v>0</v>
      </c>
      <c r="K156" s="8" t="s">
        <v>556</v>
      </c>
    </row>
    <row r="157" spans="1:11" x14ac:dyDescent="0.3">
      <c r="A157" s="1">
        <v>156</v>
      </c>
      <c r="B157" s="1">
        <v>175</v>
      </c>
      <c r="C157" s="5" t="s">
        <v>185</v>
      </c>
      <c r="D157" s="1" t="s">
        <v>565</v>
      </c>
      <c r="E157" s="8" t="s">
        <v>53</v>
      </c>
      <c r="F157" s="5" t="str">
        <f>_xlfn.XLOOKUP('April 2025'!C157,'January 2025'!C:C,'January 2025'!F:F)</f>
        <v>Manufacturing</v>
      </c>
      <c r="G157" s="1">
        <v>8000</v>
      </c>
      <c r="H157" s="1">
        <v>8000</v>
      </c>
      <c r="I157" s="1">
        <v>0</v>
      </c>
      <c r="J157" s="1">
        <v>0</v>
      </c>
      <c r="K157" s="8" t="s">
        <v>557</v>
      </c>
    </row>
    <row r="158" spans="1:11" x14ac:dyDescent="0.3">
      <c r="A158" s="1">
        <v>157</v>
      </c>
      <c r="B158" s="1">
        <v>178</v>
      </c>
      <c r="C158" s="5" t="s">
        <v>186</v>
      </c>
      <c r="D158" s="1" t="s">
        <v>565</v>
      </c>
      <c r="E158" s="8" t="s">
        <v>53</v>
      </c>
      <c r="F158" s="5" t="str">
        <f>_xlfn.XLOOKUP('April 2025'!C158,'January 2025'!C:C,'January 2025'!F:F)</f>
        <v>Manufacturing</v>
      </c>
      <c r="G158" s="1">
        <v>11000</v>
      </c>
      <c r="H158" s="1">
        <v>11000</v>
      </c>
      <c r="I158" s="1">
        <v>0</v>
      </c>
      <c r="J158" s="1">
        <v>0</v>
      </c>
      <c r="K158" s="8" t="s">
        <v>557</v>
      </c>
    </row>
    <row r="159" spans="1:11" x14ac:dyDescent="0.3">
      <c r="A159" s="1">
        <v>158</v>
      </c>
      <c r="B159" s="1">
        <v>10088</v>
      </c>
      <c r="C159" s="5" t="s">
        <v>187</v>
      </c>
      <c r="D159" s="1" t="s">
        <v>565</v>
      </c>
      <c r="E159" s="8" t="s">
        <v>35</v>
      </c>
      <c r="F159" s="5" t="str">
        <f>_xlfn.XLOOKUP(C159,'[1]April 2025'!$C:$C,'[1]April 2025'!$I:$I,"")</f>
        <v>Manufacturing</v>
      </c>
      <c r="G159" s="1">
        <v>12500</v>
      </c>
      <c r="H159" s="1">
        <v>12500</v>
      </c>
      <c r="I159" s="1">
        <v>0</v>
      </c>
      <c r="J159" s="1">
        <v>0</v>
      </c>
      <c r="K159" s="8" t="s">
        <v>556</v>
      </c>
    </row>
    <row r="160" spans="1:11" x14ac:dyDescent="0.3">
      <c r="A160" s="1">
        <v>159</v>
      </c>
      <c r="B160" s="1">
        <v>187</v>
      </c>
      <c r="C160" s="5" t="s">
        <v>188</v>
      </c>
      <c r="D160" s="1" t="s">
        <v>565</v>
      </c>
      <c r="E160" s="8" t="s">
        <v>53</v>
      </c>
      <c r="F160" s="5" t="str">
        <f>_xlfn.XLOOKUP('April 2025'!C160,'January 2025'!C:C,'January 2025'!F:F)</f>
        <v>Manufacturing</v>
      </c>
      <c r="G160" s="1">
        <v>8000</v>
      </c>
      <c r="H160" s="1">
        <v>8000</v>
      </c>
      <c r="I160" s="1">
        <v>0</v>
      </c>
      <c r="J160" s="1">
        <v>0</v>
      </c>
      <c r="K160" s="8" t="s">
        <v>557</v>
      </c>
    </row>
    <row r="161" spans="1:11" x14ac:dyDescent="0.3">
      <c r="A161" s="1">
        <v>160</v>
      </c>
      <c r="B161" s="1">
        <v>20</v>
      </c>
      <c r="C161" s="5" t="s">
        <v>189</v>
      </c>
      <c r="D161" s="1" t="s">
        <v>565</v>
      </c>
      <c r="E161" s="8" t="s">
        <v>8</v>
      </c>
      <c r="F161" s="5" t="str">
        <f>_xlfn.XLOOKUP(B161,'May 2025'!B:B,'June 2025'!F:F)</f>
        <v>Manufacturing</v>
      </c>
      <c r="G161" s="1">
        <v>8500</v>
      </c>
      <c r="H161" s="1">
        <v>8500</v>
      </c>
      <c r="I161" s="1">
        <v>0</v>
      </c>
      <c r="J161" s="1">
        <v>0</v>
      </c>
      <c r="K161" s="8" t="str">
        <f>_xlfn.XLOOKUP(B161,'May 2025'!B:B,'May 2025'!K:K)</f>
        <v>L-9</v>
      </c>
    </row>
    <row r="162" spans="1:11" x14ac:dyDescent="0.3">
      <c r="A162" s="1">
        <v>161</v>
      </c>
      <c r="B162" s="1">
        <v>41</v>
      </c>
      <c r="C162" s="5" t="s">
        <v>66</v>
      </c>
      <c r="D162" s="1" t="s">
        <v>565</v>
      </c>
      <c r="E162" s="8" t="s">
        <v>67</v>
      </c>
      <c r="F162" s="5" t="str">
        <f>_xlfn.XLOOKUP(B162,'May 2025'!B:B,'June 2025'!F:F)</f>
        <v>Manufacturing</v>
      </c>
      <c r="G162" s="1">
        <v>30000</v>
      </c>
      <c r="H162" s="1">
        <v>30000</v>
      </c>
      <c r="I162" s="1">
        <v>0</v>
      </c>
      <c r="J162" s="1">
        <v>0</v>
      </c>
      <c r="K162" s="8" t="str">
        <f>_xlfn.XLOOKUP(B162,'May 2025'!B:B,'May 2025'!K:K)</f>
        <v>L-9</v>
      </c>
    </row>
    <row r="163" spans="1:11" x14ac:dyDescent="0.3">
      <c r="A163" s="1">
        <v>162</v>
      </c>
      <c r="B163" s="1">
        <v>43</v>
      </c>
      <c r="C163" s="5" t="s">
        <v>68</v>
      </c>
      <c r="D163" s="1" t="s">
        <v>565</v>
      </c>
      <c r="E163" s="8" t="s">
        <v>67</v>
      </c>
      <c r="F163" s="5" t="str">
        <f>_xlfn.XLOOKUP(B163,'May 2025'!B:B,'June 2025'!F:F)</f>
        <v>Manufacturing</v>
      </c>
      <c r="G163" s="1">
        <v>30000</v>
      </c>
      <c r="H163" s="1">
        <v>30000</v>
      </c>
      <c r="I163" s="1">
        <v>0</v>
      </c>
      <c r="J163" s="1">
        <v>0</v>
      </c>
      <c r="K163" s="8" t="str">
        <f>_xlfn.XLOOKUP(B163,'May 2025'!B:B,'May 2025'!K:K)</f>
        <v>L-9</v>
      </c>
    </row>
    <row r="164" spans="1:11" x14ac:dyDescent="0.3">
      <c r="A164" s="1">
        <v>163</v>
      </c>
      <c r="B164" s="1">
        <v>44</v>
      </c>
      <c r="C164" s="5" t="s">
        <v>69</v>
      </c>
      <c r="D164" s="1" t="s">
        <v>565</v>
      </c>
      <c r="E164" s="8" t="s">
        <v>67</v>
      </c>
      <c r="F164" s="5" t="str">
        <f>_xlfn.XLOOKUP(B164,'May 2025'!B:B,'June 2025'!F:F)</f>
        <v>Manufacturing</v>
      </c>
      <c r="G164" s="1">
        <v>30000</v>
      </c>
      <c r="H164" s="1">
        <v>30000</v>
      </c>
      <c r="I164" s="1">
        <v>0</v>
      </c>
      <c r="J164" s="1">
        <v>0</v>
      </c>
      <c r="K164" s="8" t="str">
        <f>_xlfn.XLOOKUP(B164,'May 2025'!B:B,'May 2025'!K:K)</f>
        <v>L-9</v>
      </c>
    </row>
    <row r="165" spans="1:11" x14ac:dyDescent="0.3">
      <c r="A165" s="1">
        <v>164</v>
      </c>
      <c r="B165" s="1">
        <v>45</v>
      </c>
      <c r="C165" s="5" t="s">
        <v>190</v>
      </c>
      <c r="D165" s="1" t="s">
        <v>565</v>
      </c>
      <c r="E165" s="8" t="s">
        <v>67</v>
      </c>
      <c r="F165" s="5" t="str">
        <f>_xlfn.XLOOKUP('April 2025'!C165,'January 2025'!C:C,'January 2025'!F:F)</f>
        <v>Manufacturing</v>
      </c>
      <c r="G165" s="1">
        <v>30000</v>
      </c>
      <c r="H165" s="1">
        <v>30000</v>
      </c>
      <c r="I165" s="1">
        <v>0</v>
      </c>
      <c r="J165" s="1">
        <v>0</v>
      </c>
      <c r="K165" s="8" t="s">
        <v>556</v>
      </c>
    </row>
    <row r="166" spans="1:11" x14ac:dyDescent="0.3">
      <c r="A166" s="1">
        <v>165</v>
      </c>
      <c r="B166" s="1">
        <v>63</v>
      </c>
      <c r="C166" s="5" t="s">
        <v>71</v>
      </c>
      <c r="D166" s="1" t="s">
        <v>565</v>
      </c>
      <c r="E166" s="8" t="s">
        <v>67</v>
      </c>
      <c r="F166" s="5" t="str">
        <f>_xlfn.XLOOKUP(B166,'May 2025'!B:B,'June 2025'!F:F)</f>
        <v>Manufacturing</v>
      </c>
      <c r="G166" s="1">
        <v>30000</v>
      </c>
      <c r="H166" s="1">
        <v>30000</v>
      </c>
      <c r="I166" s="1">
        <v>0</v>
      </c>
      <c r="J166" s="1">
        <v>0</v>
      </c>
      <c r="K166" s="8" t="str">
        <f>_xlfn.XLOOKUP(B166,'May 2025'!B:B,'May 2025'!K:K)</f>
        <v>L-5</v>
      </c>
    </row>
    <row r="167" spans="1:11" x14ac:dyDescent="0.3">
      <c r="A167" s="1">
        <v>166</v>
      </c>
      <c r="B167" s="1">
        <v>65</v>
      </c>
      <c r="C167" s="5" t="s">
        <v>187</v>
      </c>
      <c r="D167" s="1" t="s">
        <v>565</v>
      </c>
      <c r="E167" s="8" t="s">
        <v>35</v>
      </c>
      <c r="F167" s="5" t="str">
        <f>_xlfn.XLOOKUP(B167,'May 2025'!B:B,'June 2025'!F:F)</f>
        <v>Manufacturing</v>
      </c>
      <c r="G167" s="1">
        <v>11000</v>
      </c>
      <c r="H167" s="1">
        <v>11000</v>
      </c>
      <c r="I167" s="1">
        <v>0</v>
      </c>
      <c r="J167" s="1">
        <v>0</v>
      </c>
      <c r="K167" s="8" t="str">
        <f>_xlfn.XLOOKUP(B167,'May 2025'!B:B,'May 2025'!K:K)</f>
        <v>L-9</v>
      </c>
    </row>
    <row r="168" spans="1:11" x14ac:dyDescent="0.3">
      <c r="A168" s="1">
        <v>167</v>
      </c>
      <c r="B168" s="1">
        <v>67</v>
      </c>
      <c r="C168" s="5" t="s">
        <v>191</v>
      </c>
      <c r="D168" s="1" t="s">
        <v>565</v>
      </c>
      <c r="E168" s="8" t="s">
        <v>35</v>
      </c>
      <c r="F168" s="5" t="str">
        <f>_xlfn.XLOOKUP(B168,'May 2025'!B:B,'June 2025'!F:F)</f>
        <v>Manufacturing</v>
      </c>
      <c r="G168" s="1">
        <v>13500</v>
      </c>
      <c r="H168" s="1">
        <v>13500</v>
      </c>
      <c r="I168" s="1">
        <v>0</v>
      </c>
      <c r="J168" s="1">
        <v>0</v>
      </c>
      <c r="K168" s="8" t="str">
        <f>_xlfn.XLOOKUP(B168,'May 2025'!B:B,'May 2025'!K:K)</f>
        <v>L-9</v>
      </c>
    </row>
    <row r="169" spans="1:11" x14ac:dyDescent="0.3">
      <c r="A169" s="1">
        <v>168</v>
      </c>
      <c r="B169" s="1">
        <v>83</v>
      </c>
      <c r="C169" s="5" t="s">
        <v>192</v>
      </c>
      <c r="D169" s="1" t="s">
        <v>565</v>
      </c>
      <c r="E169" s="8" t="s">
        <v>53</v>
      </c>
      <c r="F169" s="5" t="str">
        <f>_xlfn.XLOOKUP(B169,'May 2025'!B:B,'June 2025'!F:F)</f>
        <v>Domestic</v>
      </c>
      <c r="G169" s="1">
        <v>11500</v>
      </c>
      <c r="H169" s="1">
        <v>11500</v>
      </c>
      <c r="I169" s="1">
        <v>0</v>
      </c>
      <c r="J169" s="1">
        <v>0</v>
      </c>
      <c r="K169" s="8" t="str">
        <f>_xlfn.XLOOKUP(B169,'May 2025'!B:B,'May 2025'!K:K)</f>
        <v>L-9</v>
      </c>
    </row>
    <row r="170" spans="1:11" x14ac:dyDescent="0.3">
      <c r="A170" s="1">
        <v>169</v>
      </c>
      <c r="B170" s="1">
        <v>85</v>
      </c>
      <c r="C170" s="5" t="s">
        <v>193</v>
      </c>
      <c r="D170" s="1" t="s">
        <v>565</v>
      </c>
      <c r="E170" s="8" t="s">
        <v>61</v>
      </c>
      <c r="F170" s="5" t="str">
        <f>_xlfn.XLOOKUP(B170,'May 2025'!B:B,'June 2025'!F:F)</f>
        <v xml:space="preserve">Admin </v>
      </c>
      <c r="G170" s="1">
        <v>14000</v>
      </c>
      <c r="H170" s="1">
        <v>14000</v>
      </c>
      <c r="I170" s="1">
        <v>0</v>
      </c>
      <c r="J170" s="1">
        <v>0</v>
      </c>
      <c r="K170" s="8" t="str">
        <f>_xlfn.XLOOKUP(B170,'May 2025'!B:B,'May 2025'!K:K)</f>
        <v>L-9</v>
      </c>
    </row>
    <row r="171" spans="1:11" x14ac:dyDescent="0.3">
      <c r="A171" s="1">
        <v>170</v>
      </c>
      <c r="B171" s="1">
        <v>87</v>
      </c>
      <c r="C171" s="5" t="s">
        <v>194</v>
      </c>
      <c r="D171" s="1" t="s">
        <v>565</v>
      </c>
      <c r="E171" s="8" t="s">
        <v>53</v>
      </c>
      <c r="F171" s="5" t="str">
        <f>_xlfn.XLOOKUP(B171,'May 2025'!B:B,'June 2025'!F:F)</f>
        <v>D2C</v>
      </c>
      <c r="G171" s="1">
        <v>10500</v>
      </c>
      <c r="H171" s="1"/>
      <c r="I171" s="1">
        <v>0</v>
      </c>
      <c r="J171" s="1">
        <v>0</v>
      </c>
      <c r="K171" s="7" t="str">
        <f>_xlfn.XLOOKUP(B171,'May 2025'!B:B,'May 2025'!K:K)</f>
        <v>L-9</v>
      </c>
    </row>
    <row r="172" spans="1:11" x14ac:dyDescent="0.3">
      <c r="A172" s="1">
        <v>171</v>
      </c>
      <c r="B172" s="1">
        <v>88</v>
      </c>
      <c r="C172" s="5" t="s">
        <v>195</v>
      </c>
      <c r="D172" s="1" t="s">
        <v>565</v>
      </c>
      <c r="E172" s="8" t="s">
        <v>53</v>
      </c>
      <c r="F172" s="5" t="str">
        <f>_xlfn.XLOOKUP(B172,'May 2025'!B:B,'June 2025'!F:F)</f>
        <v>D2C</v>
      </c>
      <c r="G172" s="1">
        <v>11000</v>
      </c>
      <c r="H172" s="1">
        <v>11000</v>
      </c>
      <c r="I172" s="1">
        <v>0</v>
      </c>
      <c r="J172" s="1">
        <v>0</v>
      </c>
      <c r="K172" s="8" t="str">
        <f>_xlfn.XLOOKUP(B172,'May 2025'!B:B,'May 2025'!K:K)</f>
        <v>L-9</v>
      </c>
    </row>
    <row r="173" spans="1:11" x14ac:dyDescent="0.3">
      <c r="A173" s="1">
        <v>172</v>
      </c>
      <c r="B173" s="1">
        <v>92</v>
      </c>
      <c r="C173" s="5" t="s">
        <v>196</v>
      </c>
      <c r="D173" s="1" t="s">
        <v>565</v>
      </c>
      <c r="E173" s="8" t="s">
        <v>55</v>
      </c>
      <c r="F173" s="5" t="str">
        <f>_xlfn.XLOOKUP(B173,'May 2025'!B:B,'June 2025'!F:F)</f>
        <v>Domestic</v>
      </c>
      <c r="G173" s="1">
        <v>13000</v>
      </c>
      <c r="H173" s="1">
        <v>13000</v>
      </c>
      <c r="I173" s="1">
        <v>0</v>
      </c>
      <c r="J173" s="1">
        <v>0</v>
      </c>
      <c r="K173" s="8" t="str">
        <f>_xlfn.XLOOKUP(B173,'May 2025'!B:B,'May 2025'!K:K)</f>
        <v>L-9</v>
      </c>
    </row>
    <row r="174" spans="1:11" x14ac:dyDescent="0.3">
      <c r="A174" s="1">
        <v>173</v>
      </c>
      <c r="B174" s="1">
        <v>97</v>
      </c>
      <c r="C174" s="5" t="s">
        <v>197</v>
      </c>
      <c r="D174" s="1" t="s">
        <v>565</v>
      </c>
      <c r="E174" s="8" t="s">
        <v>35</v>
      </c>
      <c r="F174" s="5" t="str">
        <f>_xlfn.XLOOKUP(B174,'May 2025'!B:B,'June 2025'!F:F)</f>
        <v>Manufacturing</v>
      </c>
      <c r="G174" s="1">
        <v>14000</v>
      </c>
      <c r="H174" s="1">
        <v>14000</v>
      </c>
      <c r="I174" s="1">
        <v>0</v>
      </c>
      <c r="J174" s="1">
        <v>0</v>
      </c>
      <c r="K174" s="8" t="str">
        <f>_xlfn.XLOOKUP(B174,'May 2025'!B:B,'May 2025'!K:K)</f>
        <v>L-9</v>
      </c>
    </row>
    <row r="175" spans="1:11" x14ac:dyDescent="0.3">
      <c r="A175" s="1">
        <v>174</v>
      </c>
      <c r="B175" s="1">
        <v>98</v>
      </c>
      <c r="C175" s="5" t="s">
        <v>198</v>
      </c>
      <c r="D175" s="1" t="s">
        <v>565</v>
      </c>
      <c r="E175" s="8" t="s">
        <v>8</v>
      </c>
      <c r="F175" s="5" t="str">
        <f>_xlfn.XLOOKUP(B175,'May 2025'!B:B,'June 2025'!F:F)</f>
        <v>Manufacturing</v>
      </c>
      <c r="G175" s="1">
        <v>9000</v>
      </c>
      <c r="H175" s="1">
        <v>9000</v>
      </c>
      <c r="I175" s="1">
        <v>0</v>
      </c>
      <c r="J175" s="1">
        <v>0</v>
      </c>
      <c r="K175" s="8" t="str">
        <f>_xlfn.XLOOKUP(B175,'May 2025'!B:B,'May 2025'!K:K)</f>
        <v>L-9</v>
      </c>
    </row>
    <row r="176" spans="1:11" x14ac:dyDescent="0.3">
      <c r="A176" s="1">
        <v>175</v>
      </c>
      <c r="B176" s="1">
        <v>50</v>
      </c>
      <c r="C176" s="5" t="s">
        <v>199</v>
      </c>
      <c r="D176" s="1" t="s">
        <v>564</v>
      </c>
      <c r="E176" s="8" t="s">
        <v>10</v>
      </c>
      <c r="F176" s="5" t="str">
        <f>_xlfn.XLOOKUP(B176,'May 2025'!B:B,'June 2025'!F:F)</f>
        <v>Manufacturing</v>
      </c>
      <c r="G176" s="1">
        <v>30000</v>
      </c>
      <c r="H176" s="1">
        <v>30000</v>
      </c>
      <c r="I176" s="1">
        <v>0</v>
      </c>
      <c r="J176" s="1">
        <v>0</v>
      </c>
      <c r="K176" s="8" t="str">
        <f>_xlfn.XLOOKUP(B176,'May 2025'!B:B,'May 2025'!K:K)</f>
        <v>L-6</v>
      </c>
    </row>
    <row r="177" spans="1:11" x14ac:dyDescent="0.3">
      <c r="A177" s="1">
        <v>176</v>
      </c>
      <c r="B177" s="1">
        <v>10089</v>
      </c>
      <c r="C177" s="5" t="s">
        <v>201</v>
      </c>
      <c r="D177" s="1" t="s">
        <v>565</v>
      </c>
      <c r="E177" s="8" t="s">
        <v>35</v>
      </c>
      <c r="F177" s="5" t="str">
        <f>_xlfn.XLOOKUP('April 2025'!C177,'January 2025'!C:C,'January 2025'!F:F)</f>
        <v>Manufacturing</v>
      </c>
      <c r="G177" s="1">
        <v>14000</v>
      </c>
      <c r="H177" s="1">
        <v>14000</v>
      </c>
      <c r="I177" s="1">
        <v>0</v>
      </c>
      <c r="J177" s="1">
        <v>0</v>
      </c>
      <c r="K177" s="8" t="s">
        <v>556</v>
      </c>
    </row>
    <row r="178" spans="1:11" x14ac:dyDescent="0.3">
      <c r="A178" s="1">
        <v>177</v>
      </c>
      <c r="B178" s="1">
        <v>10090</v>
      </c>
      <c r="C178" s="5" t="s">
        <v>202</v>
      </c>
      <c r="D178" s="1" t="s">
        <v>565</v>
      </c>
      <c r="E178" s="8" t="s">
        <v>8</v>
      </c>
      <c r="F178" s="5" t="str">
        <f>_xlfn.XLOOKUP('April 2025'!C178,'January 2025'!C:C,'January 2025'!F:F)</f>
        <v>Manufacturing</v>
      </c>
      <c r="G178" s="1">
        <v>8000</v>
      </c>
      <c r="H178" s="1">
        <v>8000</v>
      </c>
      <c r="I178" s="1">
        <v>0</v>
      </c>
      <c r="J178" s="1">
        <v>0</v>
      </c>
      <c r="K178" s="8" t="s">
        <v>556</v>
      </c>
    </row>
    <row r="179" spans="1:11" x14ac:dyDescent="0.3">
      <c r="A179" s="1">
        <v>178</v>
      </c>
      <c r="B179" s="1">
        <v>10091</v>
      </c>
      <c r="C179" s="5" t="s">
        <v>203</v>
      </c>
      <c r="D179" s="1" t="s">
        <v>565</v>
      </c>
      <c r="E179" s="8" t="s">
        <v>53</v>
      </c>
      <c r="F179" s="5" t="str">
        <f>_xlfn.XLOOKUP('April 2025'!C179,'January 2025'!C:C,'January 2025'!F:F)</f>
        <v>Manufacturing</v>
      </c>
      <c r="G179" s="1">
        <v>11000</v>
      </c>
      <c r="H179" s="1">
        <v>11000</v>
      </c>
      <c r="I179" s="1">
        <v>0</v>
      </c>
      <c r="J179" s="1">
        <v>0</v>
      </c>
      <c r="K179" s="8" t="s">
        <v>557</v>
      </c>
    </row>
    <row r="180" spans="1:11" x14ac:dyDescent="0.3">
      <c r="A180" s="1">
        <v>179</v>
      </c>
      <c r="B180" s="1">
        <v>10092</v>
      </c>
      <c r="C180" s="5" t="s">
        <v>204</v>
      </c>
      <c r="D180" s="1" t="s">
        <v>565</v>
      </c>
      <c r="E180" s="8" t="s">
        <v>10</v>
      </c>
      <c r="F180" s="5" t="str">
        <f>_xlfn.XLOOKUP(B180,'May 2025'!B:B,'June 2025'!F:F)</f>
        <v>Manufacturing</v>
      </c>
      <c r="G180" s="1">
        <v>17000</v>
      </c>
      <c r="H180" s="1">
        <v>17000</v>
      </c>
      <c r="I180" s="1">
        <v>0</v>
      </c>
      <c r="J180" s="1">
        <v>0</v>
      </c>
      <c r="K180" s="8" t="str">
        <f>_xlfn.XLOOKUP(B180,'May 2025'!B:B,'May 2025'!K:K)</f>
        <v>L-8</v>
      </c>
    </row>
    <row r="181" spans="1:11" x14ac:dyDescent="0.3">
      <c r="A181" s="1">
        <v>180</v>
      </c>
      <c r="B181" s="1">
        <v>10093</v>
      </c>
      <c r="C181" s="5" t="s">
        <v>205</v>
      </c>
      <c r="D181" s="1" t="s">
        <v>565</v>
      </c>
      <c r="E181" s="8" t="s">
        <v>55</v>
      </c>
      <c r="F181" s="5" t="str">
        <f>_xlfn.XLOOKUP(B181,'May 2025'!B:B,'June 2025'!F:F)</f>
        <v>Manufacturing</v>
      </c>
      <c r="G181" s="1">
        <v>12500</v>
      </c>
      <c r="H181" s="1">
        <v>12500</v>
      </c>
      <c r="I181" s="1">
        <v>0</v>
      </c>
      <c r="J181" s="1">
        <v>0</v>
      </c>
      <c r="K181" s="8" t="str">
        <f>_xlfn.XLOOKUP(B181,'May 2025'!B:B,'May 2025'!K:K)</f>
        <v>L-7</v>
      </c>
    </row>
    <row r="182" spans="1:11" x14ac:dyDescent="0.3">
      <c r="A182" s="1">
        <v>181</v>
      </c>
      <c r="B182" s="1">
        <v>10094</v>
      </c>
      <c r="C182" s="5" t="s">
        <v>206</v>
      </c>
      <c r="D182" s="1" t="s">
        <v>565</v>
      </c>
      <c r="E182" s="8" t="s">
        <v>53</v>
      </c>
      <c r="F182" s="5" t="str">
        <f>_xlfn.XLOOKUP('April 2025'!C182,'January 2025'!C:C,'January 2025'!F:F)</f>
        <v>Domestic</v>
      </c>
      <c r="G182" s="1">
        <v>11000</v>
      </c>
      <c r="H182" s="1">
        <v>11000</v>
      </c>
      <c r="I182" s="1">
        <v>0</v>
      </c>
      <c r="J182" s="1">
        <v>0</v>
      </c>
      <c r="K182" s="8" t="s">
        <v>557</v>
      </c>
    </row>
    <row r="183" spans="1:11" x14ac:dyDescent="0.3">
      <c r="A183" s="1">
        <v>182</v>
      </c>
      <c r="B183" s="1">
        <v>10095</v>
      </c>
      <c r="C183" s="5" t="s">
        <v>122</v>
      </c>
      <c r="D183" s="1" t="s">
        <v>565</v>
      </c>
      <c r="E183" s="8" t="s">
        <v>53</v>
      </c>
      <c r="F183" s="5" t="str">
        <f>_xlfn.XLOOKUP(C183,'[1]April 2025'!$C:$C,'[1]April 2025'!$I:$I,"")</f>
        <v>Domestic</v>
      </c>
      <c r="G183" s="1">
        <v>11000</v>
      </c>
      <c r="H183" s="1">
        <v>11000</v>
      </c>
      <c r="I183" s="1">
        <v>0</v>
      </c>
      <c r="J183" s="1">
        <v>0</v>
      </c>
      <c r="K183" s="8" t="s">
        <v>557</v>
      </c>
    </row>
    <row r="184" spans="1:11" x14ac:dyDescent="0.3">
      <c r="A184" s="1">
        <v>183</v>
      </c>
      <c r="B184" s="1">
        <v>51</v>
      </c>
      <c r="C184" s="5" t="s">
        <v>207</v>
      </c>
      <c r="D184" s="1" t="s">
        <v>564</v>
      </c>
      <c r="E184" s="8" t="s">
        <v>208</v>
      </c>
      <c r="F184" s="5" t="s">
        <v>501</v>
      </c>
      <c r="G184" s="1">
        <v>35000</v>
      </c>
      <c r="H184" s="1">
        <v>35000</v>
      </c>
      <c r="I184" s="1">
        <v>0</v>
      </c>
      <c r="J184" s="1">
        <v>0</v>
      </c>
      <c r="K184" s="8" t="s">
        <v>553</v>
      </c>
    </row>
    <row r="185" spans="1:11" x14ac:dyDescent="0.3">
      <c r="A185" s="1">
        <v>184</v>
      </c>
      <c r="B185" s="1">
        <v>52</v>
      </c>
      <c r="C185" s="5" t="s">
        <v>209</v>
      </c>
      <c r="D185" s="1" t="s">
        <v>564</v>
      </c>
      <c r="E185" s="8" t="s">
        <v>47</v>
      </c>
      <c r="F185" s="5" t="str">
        <f>_xlfn.XLOOKUP('April 2025'!C185,'January 2025'!C:C,'January 2025'!F:F)</f>
        <v>Domestic</v>
      </c>
      <c r="G185" s="1">
        <v>50050</v>
      </c>
      <c r="H185" s="1">
        <v>48250</v>
      </c>
      <c r="I185" s="1">
        <v>1950</v>
      </c>
      <c r="J185" s="1">
        <v>0</v>
      </c>
      <c r="K185" s="8" t="s">
        <v>553</v>
      </c>
    </row>
    <row r="186" spans="1:11" x14ac:dyDescent="0.3">
      <c r="A186" s="1">
        <v>185</v>
      </c>
      <c r="B186" s="1">
        <v>10096</v>
      </c>
      <c r="C186" s="5" t="s">
        <v>210</v>
      </c>
      <c r="D186" s="1" t="s">
        <v>565</v>
      </c>
      <c r="E186" s="8" t="s">
        <v>61</v>
      </c>
      <c r="F186" s="5" t="str">
        <f>_xlfn.XLOOKUP(B186,'May 2025'!B:B,'June 2025'!F:F)</f>
        <v>Manufacturing</v>
      </c>
      <c r="G186" s="1">
        <v>13000</v>
      </c>
      <c r="H186" s="1">
        <v>13000</v>
      </c>
      <c r="I186" s="1">
        <v>0</v>
      </c>
      <c r="J186" s="1">
        <v>0</v>
      </c>
      <c r="K186" s="8" t="str">
        <f>_xlfn.XLOOKUP(B186,'May 2025'!B:B,'May 2025'!K:K)</f>
        <v>L-9</v>
      </c>
    </row>
    <row r="187" spans="1:11" x14ac:dyDescent="0.3">
      <c r="A187" s="1">
        <v>186</v>
      </c>
      <c r="B187" s="1">
        <v>10097</v>
      </c>
      <c r="C187" s="5" t="s">
        <v>211</v>
      </c>
      <c r="D187" s="1" t="s">
        <v>565</v>
      </c>
      <c r="E187" s="8" t="s">
        <v>53</v>
      </c>
      <c r="F187" s="5" t="str">
        <f>_xlfn.XLOOKUP(B187,'May 2025'!B:B,'June 2025'!F:F)</f>
        <v>Manufacturing</v>
      </c>
      <c r="G187" s="1">
        <v>12000</v>
      </c>
      <c r="H187" s="1">
        <v>12000</v>
      </c>
      <c r="I187" s="1">
        <v>0</v>
      </c>
      <c r="J187" s="1">
        <v>0</v>
      </c>
      <c r="K187" s="8" t="str">
        <f>_xlfn.XLOOKUP(B187,'May 2025'!B:B,'May 2025'!K:K)</f>
        <v>L-10</v>
      </c>
    </row>
    <row r="188" spans="1:11" x14ac:dyDescent="0.3">
      <c r="A188" s="1">
        <v>187</v>
      </c>
      <c r="B188" s="1">
        <v>10098</v>
      </c>
      <c r="C188" s="5" t="s">
        <v>203</v>
      </c>
      <c r="D188" s="1" t="s">
        <v>565</v>
      </c>
      <c r="E188" s="8" t="s">
        <v>53</v>
      </c>
      <c r="F188" s="5" t="str">
        <f>_xlfn.XLOOKUP('April 2025'!C188,'January 2025'!C:C,'January 2025'!F:F)</f>
        <v>Manufacturing</v>
      </c>
      <c r="G188" s="1">
        <v>10500</v>
      </c>
      <c r="H188" s="1">
        <v>10500</v>
      </c>
      <c r="I188" s="1">
        <v>0</v>
      </c>
      <c r="J188" s="1">
        <v>0</v>
      </c>
      <c r="K188" s="8" t="s">
        <v>557</v>
      </c>
    </row>
    <row r="189" spans="1:11" x14ac:dyDescent="0.3">
      <c r="A189" s="1">
        <v>188</v>
      </c>
      <c r="B189" s="1">
        <v>10099</v>
      </c>
      <c r="C189" s="5" t="s">
        <v>212</v>
      </c>
      <c r="D189" s="1" t="s">
        <v>565</v>
      </c>
      <c r="E189" s="8" t="s">
        <v>53</v>
      </c>
      <c r="F189" s="5" t="str">
        <f>_xlfn.XLOOKUP(B189,'May 2025'!B:B,'June 2025'!F:F)</f>
        <v>Manufacturing</v>
      </c>
      <c r="G189" s="1">
        <v>11000</v>
      </c>
      <c r="H189" s="1">
        <v>11000</v>
      </c>
      <c r="I189" s="1">
        <v>0</v>
      </c>
      <c r="J189" s="1">
        <v>0</v>
      </c>
      <c r="K189" s="8" t="str">
        <f>_xlfn.XLOOKUP(B189,'May 2025'!B:B,'May 2025'!K:K)</f>
        <v>L-10</v>
      </c>
    </row>
    <row r="190" spans="1:11" x14ac:dyDescent="0.3">
      <c r="A190" s="1">
        <v>189</v>
      </c>
      <c r="B190" s="1">
        <v>10100</v>
      </c>
      <c r="C190" s="5" t="s">
        <v>213</v>
      </c>
      <c r="D190" s="1" t="s">
        <v>565</v>
      </c>
      <c r="E190" s="8" t="s">
        <v>214</v>
      </c>
      <c r="F190" s="5" t="str">
        <f>_xlfn.XLOOKUP('April 2025'!C190,'January 2025'!C:C,'January 2025'!F:F)</f>
        <v>Manufacturing</v>
      </c>
      <c r="G190" s="1">
        <v>11500</v>
      </c>
      <c r="H190" s="1">
        <v>11500</v>
      </c>
      <c r="I190" s="1">
        <v>0</v>
      </c>
      <c r="J190" s="1">
        <v>0</v>
      </c>
      <c r="K190" s="8" t="s">
        <v>556</v>
      </c>
    </row>
    <row r="191" spans="1:11" x14ac:dyDescent="0.3">
      <c r="A191" s="1">
        <v>190</v>
      </c>
      <c r="B191" s="1">
        <v>10101</v>
      </c>
      <c r="C191" s="5" t="s">
        <v>215</v>
      </c>
      <c r="D191" s="1" t="s">
        <v>565</v>
      </c>
      <c r="E191" s="8" t="s">
        <v>35</v>
      </c>
      <c r="F191" s="5" t="str">
        <f>_xlfn.XLOOKUP(B191,'May 2025'!B:B,'June 2025'!F:F)</f>
        <v>Manufacturing</v>
      </c>
      <c r="G191" s="1">
        <v>11500</v>
      </c>
      <c r="H191" s="1">
        <v>11500</v>
      </c>
      <c r="I191" s="1">
        <v>0</v>
      </c>
      <c r="J191" s="1">
        <v>0</v>
      </c>
      <c r="K191" s="8" t="str">
        <f>_xlfn.XLOOKUP(B191,'May 2025'!B:B,'May 2025'!K:K)</f>
        <v>L-9</v>
      </c>
    </row>
    <row r="192" spans="1:11" x14ac:dyDescent="0.3">
      <c r="A192" s="1">
        <v>191</v>
      </c>
      <c r="B192" s="1">
        <v>10102</v>
      </c>
      <c r="C192" s="5" t="s">
        <v>133</v>
      </c>
      <c r="D192" s="1" t="s">
        <v>565</v>
      </c>
      <c r="E192" s="8" t="s">
        <v>35</v>
      </c>
      <c r="F192" s="5" t="str">
        <f>_xlfn.XLOOKUP('April 2025'!C192,'January 2025'!C:C,'January 2025'!F:F)</f>
        <v>Manufacturing</v>
      </c>
      <c r="G192" s="1">
        <v>12500</v>
      </c>
      <c r="H192" s="1">
        <v>12500</v>
      </c>
      <c r="I192" s="1">
        <v>0</v>
      </c>
      <c r="J192" s="1">
        <v>0</v>
      </c>
      <c r="K192" s="8" t="s">
        <v>556</v>
      </c>
    </row>
    <row r="193" spans="1:11" x14ac:dyDescent="0.3">
      <c r="A193" s="1">
        <v>192</v>
      </c>
      <c r="B193" s="1">
        <v>53</v>
      </c>
      <c r="C193" s="5" t="s">
        <v>216</v>
      </c>
      <c r="D193" s="1" t="s">
        <v>564</v>
      </c>
      <c r="E193" s="8" t="s">
        <v>67</v>
      </c>
      <c r="F193" s="5" t="str">
        <f>_xlfn.XLOOKUP('April 2025'!C193,'January 2025'!C:C,'January 2025'!F:F)</f>
        <v>Manufacturing</v>
      </c>
      <c r="G193" s="1">
        <v>30000</v>
      </c>
      <c r="H193" s="1">
        <v>30000</v>
      </c>
      <c r="I193" s="1">
        <v>0</v>
      </c>
      <c r="J193" s="1">
        <v>0</v>
      </c>
      <c r="K193" s="8" t="s">
        <v>556</v>
      </c>
    </row>
    <row r="194" spans="1:11" x14ac:dyDescent="0.3">
      <c r="A194" s="1">
        <v>193</v>
      </c>
      <c r="B194" s="1">
        <v>54</v>
      </c>
      <c r="C194" s="5" t="s">
        <v>217</v>
      </c>
      <c r="D194" s="1" t="s">
        <v>564</v>
      </c>
      <c r="E194" s="8" t="s">
        <v>67</v>
      </c>
      <c r="F194" s="5" t="str">
        <f>_xlfn.XLOOKUP(B194,'May 2025'!B:B,'June 2025'!F:F)</f>
        <v>Manufacturing</v>
      </c>
      <c r="G194" s="1">
        <v>30000</v>
      </c>
      <c r="H194" s="1">
        <v>30000</v>
      </c>
      <c r="I194" s="1">
        <v>0</v>
      </c>
      <c r="J194" s="1">
        <v>0</v>
      </c>
      <c r="K194" s="8" t="str">
        <f>_xlfn.XLOOKUP(B194,'May 2025'!B:B,'May 2025'!K:K)</f>
        <v>L-9</v>
      </c>
    </row>
    <row r="195" spans="1:11" x14ac:dyDescent="0.3">
      <c r="A195" s="1">
        <v>194</v>
      </c>
      <c r="B195" s="1">
        <v>55</v>
      </c>
      <c r="C195" s="5" t="s">
        <v>218</v>
      </c>
      <c r="D195" s="1" t="s">
        <v>564</v>
      </c>
      <c r="E195" s="8" t="s">
        <v>67</v>
      </c>
      <c r="F195" s="5" t="str">
        <f>_xlfn.XLOOKUP(B195,'May 2025'!B:B,'June 2025'!F:F)</f>
        <v>Manufacturing</v>
      </c>
      <c r="G195" s="1">
        <v>30000</v>
      </c>
      <c r="H195" s="1">
        <v>30000</v>
      </c>
      <c r="I195" s="1">
        <v>0</v>
      </c>
      <c r="J195" s="1">
        <v>0</v>
      </c>
      <c r="K195" s="8" t="str">
        <f>_xlfn.XLOOKUP(B195,'May 2025'!B:B,'May 2025'!K:K)</f>
        <v>L-9</v>
      </c>
    </row>
    <row r="196" spans="1:11" x14ac:dyDescent="0.3">
      <c r="A196" s="1">
        <v>195</v>
      </c>
      <c r="B196" s="1">
        <v>56</v>
      </c>
      <c r="C196" s="5" t="s">
        <v>219</v>
      </c>
      <c r="D196" s="1" t="s">
        <v>564</v>
      </c>
      <c r="E196" s="8" t="s">
        <v>67</v>
      </c>
      <c r="F196" s="5" t="str">
        <f>_xlfn.XLOOKUP(B196,'May 2025'!B:B,'June 2025'!F:F)</f>
        <v>Domestic</v>
      </c>
      <c r="G196" s="1">
        <v>30000</v>
      </c>
      <c r="H196" s="1">
        <v>30000</v>
      </c>
      <c r="I196" s="1">
        <v>0</v>
      </c>
      <c r="J196" s="1">
        <v>0</v>
      </c>
      <c r="K196" s="8" t="str">
        <f>_xlfn.XLOOKUP(B196,'May 2025'!B:B,'May 2025'!K:K)</f>
        <v>L-9</v>
      </c>
    </row>
    <row r="197" spans="1:11" x14ac:dyDescent="0.3">
      <c r="A197" s="1">
        <v>196</v>
      </c>
      <c r="B197" s="1">
        <v>57</v>
      </c>
      <c r="C197" s="5" t="s">
        <v>220</v>
      </c>
      <c r="D197" s="1" t="s">
        <v>564</v>
      </c>
      <c r="E197" s="8" t="s">
        <v>42</v>
      </c>
      <c r="F197" s="5" t="str">
        <f>_xlfn.XLOOKUP(B197,'May 2025'!B:B,'June 2025'!F:F)</f>
        <v>Manufacturing</v>
      </c>
      <c r="G197" s="1">
        <v>48600</v>
      </c>
      <c r="H197" s="1">
        <v>46800</v>
      </c>
      <c r="I197" s="1">
        <v>1950</v>
      </c>
      <c r="J197" s="1">
        <v>0</v>
      </c>
      <c r="K197" s="8" t="str">
        <f>_xlfn.XLOOKUP(B197,'May 2025'!B:B,'May 2025'!K:K)</f>
        <v>L-6</v>
      </c>
    </row>
    <row r="198" spans="1:11" x14ac:dyDescent="0.3">
      <c r="A198" s="1">
        <v>197</v>
      </c>
      <c r="B198" s="1">
        <v>58</v>
      </c>
      <c r="C198" s="5" t="s">
        <v>221</v>
      </c>
      <c r="D198" s="1" t="s">
        <v>564</v>
      </c>
      <c r="E198" s="8" t="s">
        <v>10</v>
      </c>
      <c r="F198" s="5" t="str">
        <f ca="1">_xlfn.XLOOKUP('April 2025'!C198,'January 2025'!C:C,'January 2025'!F:F)</f>
        <v>Manufacturing</v>
      </c>
      <c r="G198" s="1">
        <v>17000</v>
      </c>
      <c r="H198" s="1">
        <v>15852</v>
      </c>
      <c r="I198" s="1">
        <v>1105</v>
      </c>
      <c r="J198" s="1">
        <v>553</v>
      </c>
      <c r="K198" s="8" t="s">
        <v>555</v>
      </c>
    </row>
    <row r="199" spans="1:11" x14ac:dyDescent="0.3">
      <c r="A199" s="1">
        <v>198</v>
      </c>
      <c r="B199" s="1">
        <v>10103</v>
      </c>
      <c r="C199" s="5" t="s">
        <v>222</v>
      </c>
      <c r="D199" s="1" t="s">
        <v>565</v>
      </c>
      <c r="E199" s="8" t="s">
        <v>35</v>
      </c>
      <c r="F199" s="5" t="str">
        <f>_xlfn.XLOOKUP(B199,'May 2025'!B:B,'June 2025'!F:F)</f>
        <v>Manufacturing</v>
      </c>
      <c r="G199" s="1">
        <v>12500</v>
      </c>
      <c r="H199" s="1">
        <v>12500</v>
      </c>
      <c r="I199" s="1">
        <v>0</v>
      </c>
      <c r="J199" s="1">
        <v>0</v>
      </c>
      <c r="K199" s="8" t="str">
        <f>_xlfn.XLOOKUP(B199,'May 2025'!B:B,'May 2025'!K:K)</f>
        <v>L-9</v>
      </c>
    </row>
    <row r="200" spans="1:11" x14ac:dyDescent="0.3">
      <c r="A200" s="1">
        <v>199</v>
      </c>
      <c r="B200" s="1">
        <v>10104</v>
      </c>
      <c r="C200" s="5" t="s">
        <v>223</v>
      </c>
      <c r="D200" s="1" t="s">
        <v>565</v>
      </c>
      <c r="E200" s="8" t="s">
        <v>35</v>
      </c>
      <c r="F200" s="5" t="str">
        <f>_xlfn.XLOOKUP(B200,'May 2025'!B:B,'June 2025'!F:F)</f>
        <v>Manufacturing</v>
      </c>
      <c r="G200" s="1">
        <v>13500</v>
      </c>
      <c r="H200" s="1">
        <v>13500</v>
      </c>
      <c r="I200" s="1">
        <v>0</v>
      </c>
      <c r="J200" s="1">
        <v>0</v>
      </c>
      <c r="K200" s="8" t="str">
        <f>_xlfn.XLOOKUP(B200,'May 2025'!B:B,'May 2025'!K:K)</f>
        <v>L-9</v>
      </c>
    </row>
    <row r="201" spans="1:11" x14ac:dyDescent="0.3">
      <c r="A201" s="1">
        <v>200</v>
      </c>
      <c r="B201" s="1">
        <v>10105</v>
      </c>
      <c r="C201" s="5" t="s">
        <v>133</v>
      </c>
      <c r="D201" s="1" t="s">
        <v>565</v>
      </c>
      <c r="E201" s="8" t="s">
        <v>61</v>
      </c>
      <c r="F201" s="5" t="str">
        <f>_xlfn.XLOOKUP('April 2025'!C201,'January 2025'!C:C,'January 2025'!F:F)</f>
        <v>Manufacturing</v>
      </c>
      <c r="G201" s="1">
        <v>12000</v>
      </c>
      <c r="H201" s="1">
        <v>12000</v>
      </c>
      <c r="I201" s="1">
        <v>0</v>
      </c>
      <c r="J201" s="1">
        <v>0</v>
      </c>
      <c r="K201" s="8" t="s">
        <v>556</v>
      </c>
    </row>
    <row r="202" spans="1:11" x14ac:dyDescent="0.3">
      <c r="A202" s="1">
        <v>201</v>
      </c>
      <c r="B202" s="1">
        <v>10106</v>
      </c>
      <c r="C202" s="5" t="s">
        <v>224</v>
      </c>
      <c r="D202" s="1" t="s">
        <v>565</v>
      </c>
      <c r="E202" s="8" t="s">
        <v>61</v>
      </c>
      <c r="F202" s="5" t="str">
        <f>_xlfn.XLOOKUP('April 2025'!C202,'January 2025'!C:C,'January 2025'!F:F)</f>
        <v>Manufacturing</v>
      </c>
      <c r="G202" s="1">
        <v>11500</v>
      </c>
      <c r="H202" s="1">
        <v>11500</v>
      </c>
      <c r="I202" s="1">
        <v>0</v>
      </c>
      <c r="J202" s="1">
        <v>0</v>
      </c>
      <c r="K202" s="8" t="s">
        <v>556</v>
      </c>
    </row>
    <row r="203" spans="1:11" x14ac:dyDescent="0.3">
      <c r="A203" s="1">
        <v>202</v>
      </c>
      <c r="B203" s="1">
        <v>10107</v>
      </c>
      <c r="C203" s="5" t="s">
        <v>225</v>
      </c>
      <c r="D203" s="1" t="s">
        <v>565</v>
      </c>
      <c r="E203" s="8" t="s">
        <v>12</v>
      </c>
      <c r="F203" s="5" t="str">
        <f>_xlfn.XLOOKUP(B203,'May 2025'!B:B,'June 2025'!F:F)</f>
        <v>Manufacturing</v>
      </c>
      <c r="G203" s="1">
        <v>13000</v>
      </c>
      <c r="H203" s="1">
        <v>13000</v>
      </c>
      <c r="I203" s="1">
        <v>0</v>
      </c>
      <c r="J203" s="1">
        <v>0</v>
      </c>
      <c r="K203" s="8" t="str">
        <f>_xlfn.XLOOKUP(B203,'May 2025'!B:B,'May 2025'!K:K)</f>
        <v>L-9</v>
      </c>
    </row>
    <row r="204" spans="1:11" x14ac:dyDescent="0.3">
      <c r="A204" s="1">
        <v>203</v>
      </c>
      <c r="B204" s="1">
        <v>10108</v>
      </c>
      <c r="C204" s="5" t="s">
        <v>226</v>
      </c>
      <c r="D204" s="1" t="s">
        <v>565</v>
      </c>
      <c r="E204" s="8" t="s">
        <v>35</v>
      </c>
      <c r="F204" s="5" t="str">
        <f>_xlfn.XLOOKUP('April 2025'!C204,'January 2025'!C:C,'January 2025'!F:F)</f>
        <v>Manufacturing</v>
      </c>
      <c r="G204" s="1">
        <v>12000</v>
      </c>
      <c r="H204" s="1">
        <v>12000</v>
      </c>
      <c r="I204" s="1">
        <v>0</v>
      </c>
      <c r="J204" s="1">
        <v>0</v>
      </c>
      <c r="K204" s="8" t="s">
        <v>556</v>
      </c>
    </row>
    <row r="205" spans="1:11" x14ac:dyDescent="0.3">
      <c r="A205" s="1">
        <v>204</v>
      </c>
      <c r="B205" s="1">
        <v>10109</v>
      </c>
      <c r="C205" s="5" t="s">
        <v>227</v>
      </c>
      <c r="D205" s="1" t="s">
        <v>565</v>
      </c>
      <c r="E205" s="8" t="s">
        <v>35</v>
      </c>
      <c r="F205" s="5" t="str">
        <f>_xlfn.XLOOKUP(B205,'May 2025'!B:B,'June 2025'!F:F)</f>
        <v>Manufacturing</v>
      </c>
      <c r="G205" s="1">
        <v>11500</v>
      </c>
      <c r="H205" s="1">
        <v>11500</v>
      </c>
      <c r="I205" s="1">
        <v>0</v>
      </c>
      <c r="J205" s="1">
        <v>0</v>
      </c>
      <c r="K205" s="8" t="str">
        <f>_xlfn.XLOOKUP(B205,'May 2025'!B:B,'May 2025'!K:K)</f>
        <v>L-9</v>
      </c>
    </row>
    <row r="206" spans="1:11" x14ac:dyDescent="0.3">
      <c r="A206" s="1">
        <v>205</v>
      </c>
      <c r="B206" s="1">
        <v>10110</v>
      </c>
      <c r="C206" s="5" t="s">
        <v>228</v>
      </c>
      <c r="D206" s="1" t="s">
        <v>565</v>
      </c>
      <c r="E206" s="8" t="s">
        <v>61</v>
      </c>
      <c r="F206" s="5" t="str">
        <f>_xlfn.XLOOKUP(B206,'May 2025'!B:B,'June 2025'!F:F)</f>
        <v>Manufacturing</v>
      </c>
      <c r="G206" s="1">
        <v>11500</v>
      </c>
      <c r="H206" s="1">
        <v>11500</v>
      </c>
      <c r="I206" s="1">
        <v>0</v>
      </c>
      <c r="J206" s="1">
        <v>0</v>
      </c>
      <c r="K206" s="8" t="str">
        <f>_xlfn.XLOOKUP(B206,'May 2025'!B:B,'May 2025'!K:K)</f>
        <v>L-9</v>
      </c>
    </row>
    <row r="207" spans="1:11" x14ac:dyDescent="0.3">
      <c r="A207" s="1">
        <v>206</v>
      </c>
      <c r="B207" s="1">
        <v>10111</v>
      </c>
      <c r="C207" s="5" t="s">
        <v>229</v>
      </c>
      <c r="D207" s="1" t="s">
        <v>565</v>
      </c>
      <c r="E207" s="8" t="s">
        <v>61</v>
      </c>
      <c r="F207" s="5" t="str">
        <f>_xlfn.XLOOKUP(B207,'May 2025'!B:B,'June 2025'!F:F)</f>
        <v>Manufacturing</v>
      </c>
      <c r="G207" s="1">
        <v>12500</v>
      </c>
      <c r="H207" s="1">
        <v>12500</v>
      </c>
      <c r="I207" s="1">
        <v>0</v>
      </c>
      <c r="J207" s="1">
        <v>0</v>
      </c>
      <c r="K207" s="8" t="str">
        <f>_xlfn.XLOOKUP(B207,'May 2025'!B:B,'May 2025'!K:K)</f>
        <v>L-9</v>
      </c>
    </row>
    <row r="208" spans="1:11" x14ac:dyDescent="0.3">
      <c r="A208" s="1">
        <v>207</v>
      </c>
      <c r="B208" s="1">
        <v>10112</v>
      </c>
      <c r="C208" s="5" t="s">
        <v>230</v>
      </c>
      <c r="D208" s="1" t="s">
        <v>565</v>
      </c>
      <c r="E208" s="8" t="s">
        <v>35</v>
      </c>
      <c r="F208" s="5" t="str">
        <f>_xlfn.XLOOKUP(B208,'May 2025'!B:B,'June 2025'!F:F)</f>
        <v>Manufacturing</v>
      </c>
      <c r="G208" s="1">
        <v>11000</v>
      </c>
      <c r="H208" s="1">
        <v>11000</v>
      </c>
      <c r="I208" s="1">
        <v>0</v>
      </c>
      <c r="J208" s="1">
        <v>0</v>
      </c>
      <c r="K208" s="8" t="str">
        <f>_xlfn.XLOOKUP(B208,'May 2025'!B:B,'May 2025'!K:K)</f>
        <v>L-9</v>
      </c>
    </row>
    <row r="209" spans="1:11" x14ac:dyDescent="0.3">
      <c r="A209" s="1">
        <v>208</v>
      </c>
      <c r="B209" s="1">
        <v>10113</v>
      </c>
      <c r="C209" s="5" t="s">
        <v>231</v>
      </c>
      <c r="D209" s="1" t="s">
        <v>565</v>
      </c>
      <c r="E209" s="8" t="s">
        <v>53</v>
      </c>
      <c r="F209" s="5" t="str">
        <f>_xlfn.XLOOKUP('April 2025'!C209,'January 2025'!C:C,'January 2025'!F:F)</f>
        <v>Domestic</v>
      </c>
      <c r="G209" s="1">
        <v>12000</v>
      </c>
      <c r="H209" s="1">
        <v>12000</v>
      </c>
      <c r="I209" s="1">
        <v>0</v>
      </c>
      <c r="J209" s="1">
        <v>0</v>
      </c>
      <c r="K209" s="8" t="s">
        <v>557</v>
      </c>
    </row>
    <row r="210" spans="1:11" x14ac:dyDescent="0.3">
      <c r="A210" s="1">
        <v>209</v>
      </c>
      <c r="B210" s="1">
        <v>10114</v>
      </c>
      <c r="C210" s="5" t="s">
        <v>232</v>
      </c>
      <c r="D210" s="1" t="s">
        <v>565</v>
      </c>
      <c r="E210" s="8" t="s">
        <v>10</v>
      </c>
      <c r="F210" s="5" t="str">
        <f>_xlfn.XLOOKUP(B210,'May 2025'!B:B,'June 2025'!F:F)</f>
        <v>Manufacturing</v>
      </c>
      <c r="G210" s="1">
        <v>13500</v>
      </c>
      <c r="H210" s="1">
        <v>13500</v>
      </c>
      <c r="I210" s="1">
        <v>0</v>
      </c>
      <c r="J210" s="1">
        <v>0</v>
      </c>
      <c r="K210" s="8" t="str">
        <f>_xlfn.XLOOKUP(B210,'May 2025'!B:B,'May 2025'!K:K)</f>
        <v>L-8</v>
      </c>
    </row>
    <row r="211" spans="1:11" x14ac:dyDescent="0.3">
      <c r="A211" s="1">
        <v>210</v>
      </c>
      <c r="B211" s="1">
        <v>59</v>
      </c>
      <c r="C211" s="5" t="s">
        <v>233</v>
      </c>
      <c r="D211" s="1" t="s">
        <v>564</v>
      </c>
      <c r="E211" s="8" t="s">
        <v>42</v>
      </c>
      <c r="F211" s="5" t="str">
        <f>_xlfn.XLOOKUP(B211,'May 2025'!B:B,'June 2025'!F:F)</f>
        <v>Manufacturing</v>
      </c>
      <c r="G211" s="1">
        <v>50000</v>
      </c>
      <c r="H211" s="1">
        <v>50000</v>
      </c>
      <c r="I211" s="1">
        <v>0</v>
      </c>
      <c r="J211" s="1">
        <v>0</v>
      </c>
      <c r="K211" s="8" t="str">
        <f>_xlfn.XLOOKUP(B211,'May 2025'!B:B,'May 2025'!K:K)</f>
        <v>L-5</v>
      </c>
    </row>
    <row r="212" spans="1:11" x14ac:dyDescent="0.3">
      <c r="A212" s="1">
        <v>211</v>
      </c>
      <c r="B212" s="1">
        <v>60</v>
      </c>
      <c r="C212" s="5" t="s">
        <v>234</v>
      </c>
      <c r="D212" s="1" t="s">
        <v>564</v>
      </c>
      <c r="E212" s="8" t="s">
        <v>235</v>
      </c>
      <c r="F212" s="5" t="str">
        <f>_xlfn.XLOOKUP('April 2025'!C212,'January 2025'!C:C,'January 2025'!F:F)</f>
        <v>Manufacturing</v>
      </c>
      <c r="G212" s="1">
        <v>25000</v>
      </c>
      <c r="H212" s="1">
        <v>25000</v>
      </c>
      <c r="I212" s="1">
        <v>0</v>
      </c>
      <c r="J212" s="1">
        <v>0</v>
      </c>
      <c r="K212" s="8" t="s">
        <v>556</v>
      </c>
    </row>
    <row r="213" spans="1:11" x14ac:dyDescent="0.3">
      <c r="A213" s="1">
        <v>212</v>
      </c>
      <c r="B213" s="1">
        <v>10115</v>
      </c>
      <c r="C213" s="5" t="s">
        <v>236</v>
      </c>
      <c r="D213" s="1" t="s">
        <v>565</v>
      </c>
      <c r="E213" s="8" t="s">
        <v>35</v>
      </c>
      <c r="F213" s="5" t="str">
        <f>_xlfn.XLOOKUP(B213,'May 2025'!B:B,'June 2025'!F:F)</f>
        <v>Manufacturing</v>
      </c>
      <c r="G213" s="1">
        <v>12500</v>
      </c>
      <c r="H213" s="1">
        <v>12500</v>
      </c>
      <c r="I213" s="1">
        <v>0</v>
      </c>
      <c r="J213" s="1">
        <v>0</v>
      </c>
      <c r="K213" s="8" t="str">
        <f>_xlfn.XLOOKUP(B213,'May 2025'!B:B,'May 2025'!K:K)</f>
        <v>L-9</v>
      </c>
    </row>
    <row r="214" spans="1:11" x14ac:dyDescent="0.3">
      <c r="A214" s="1">
        <v>213</v>
      </c>
      <c r="B214" s="1">
        <v>10116</v>
      </c>
      <c r="C214" s="5" t="s">
        <v>237</v>
      </c>
      <c r="D214" s="1" t="s">
        <v>565</v>
      </c>
      <c r="E214" s="8" t="s">
        <v>53</v>
      </c>
      <c r="F214" s="5" t="str">
        <f>_xlfn.XLOOKUP('April 2025'!C214,'January 2025'!C:C,'January 2025'!F:F)</f>
        <v>Domestic</v>
      </c>
      <c r="G214" s="1">
        <v>11500</v>
      </c>
      <c r="H214" s="1">
        <v>11500</v>
      </c>
      <c r="I214" s="1">
        <v>0</v>
      </c>
      <c r="J214" s="1">
        <v>0</v>
      </c>
      <c r="K214" s="8" t="s">
        <v>557</v>
      </c>
    </row>
    <row r="215" spans="1:11" x14ac:dyDescent="0.3">
      <c r="A215" s="1">
        <v>214</v>
      </c>
      <c r="B215" s="1">
        <v>10117</v>
      </c>
      <c r="C215" s="5" t="s">
        <v>238</v>
      </c>
      <c r="D215" s="1" t="s">
        <v>565</v>
      </c>
      <c r="E215" s="8" t="s">
        <v>35</v>
      </c>
      <c r="F215" s="5" t="str">
        <f>_xlfn.XLOOKUP(B215,'May 2025'!B:B,'June 2025'!F:F)</f>
        <v>Manufacturing</v>
      </c>
      <c r="G215" s="1">
        <v>11500</v>
      </c>
      <c r="H215" s="1">
        <v>11500</v>
      </c>
      <c r="I215" s="1">
        <v>0</v>
      </c>
      <c r="J215" s="1">
        <v>0</v>
      </c>
      <c r="K215" s="8" t="str">
        <f>_xlfn.XLOOKUP(B215,'May 2025'!B:B,'May 2025'!K:K)</f>
        <v>L-9</v>
      </c>
    </row>
    <row r="216" spans="1:11" x14ac:dyDescent="0.3">
      <c r="A216" s="1">
        <v>215</v>
      </c>
      <c r="B216" s="1">
        <v>10118</v>
      </c>
      <c r="C216" s="5" t="s">
        <v>80</v>
      </c>
      <c r="D216" s="1" t="s">
        <v>565</v>
      </c>
      <c r="E216" s="8" t="s">
        <v>53</v>
      </c>
      <c r="F216" s="5" t="str">
        <f>_xlfn.XLOOKUP(C216,'[1]April 2025'!$C:$C,'[1]April 2025'!$I:$I,"")</f>
        <v>Domestic</v>
      </c>
      <c r="G216" s="1">
        <v>11000</v>
      </c>
      <c r="H216" s="1">
        <v>11000</v>
      </c>
      <c r="I216" s="1">
        <v>0</v>
      </c>
      <c r="J216" s="1">
        <v>0</v>
      </c>
      <c r="K216" s="8" t="s">
        <v>557</v>
      </c>
    </row>
    <row r="217" spans="1:11" x14ac:dyDescent="0.3">
      <c r="A217" s="1">
        <v>216</v>
      </c>
      <c r="B217" s="1">
        <v>10119</v>
      </c>
      <c r="C217" s="5" t="s">
        <v>239</v>
      </c>
      <c r="D217" s="1" t="s">
        <v>565</v>
      </c>
      <c r="E217" s="8" t="s">
        <v>53</v>
      </c>
      <c r="F217" s="5" t="str">
        <f ca="1">_xlfn.XLOOKUP('April 2025'!C217,'January 2025'!C:C,'January 2025'!F:F)</f>
        <v>Manufacturing</v>
      </c>
      <c r="G217" s="1">
        <v>11000</v>
      </c>
      <c r="H217" s="1">
        <v>11000</v>
      </c>
      <c r="I217" s="1">
        <v>0</v>
      </c>
      <c r="J217" s="1">
        <v>0</v>
      </c>
      <c r="K217" s="8" t="s">
        <v>557</v>
      </c>
    </row>
    <row r="218" spans="1:11" x14ac:dyDescent="0.3">
      <c r="A218" s="1">
        <v>217</v>
      </c>
      <c r="B218" s="1">
        <v>10120</v>
      </c>
      <c r="C218" s="5" t="s">
        <v>240</v>
      </c>
      <c r="D218" s="1" t="s">
        <v>565</v>
      </c>
      <c r="E218" s="8" t="s">
        <v>61</v>
      </c>
      <c r="F218" s="5" t="str">
        <f ca="1">_xlfn.XLOOKUP('April 2025'!C218,'January 2025'!C:C,'January 2025'!F:F)</f>
        <v>Manufacturing</v>
      </c>
      <c r="G218" s="1">
        <v>13000</v>
      </c>
      <c r="H218" s="1">
        <v>13000</v>
      </c>
      <c r="I218" s="1">
        <v>0</v>
      </c>
      <c r="J218" s="1">
        <v>0</v>
      </c>
      <c r="K218" s="8" t="s">
        <v>556</v>
      </c>
    </row>
    <row r="219" spans="1:11" x14ac:dyDescent="0.3">
      <c r="A219" s="1">
        <v>218</v>
      </c>
      <c r="B219" s="1">
        <v>10121</v>
      </c>
      <c r="C219" s="5" t="s">
        <v>241</v>
      </c>
      <c r="D219" s="1" t="s">
        <v>565</v>
      </c>
      <c r="E219" s="8" t="s">
        <v>53</v>
      </c>
      <c r="F219" s="5" t="str">
        <f>_xlfn.XLOOKUP(B219,'May 2025'!B:B,'June 2025'!F:F)</f>
        <v>Manufacturing</v>
      </c>
      <c r="G219" s="1">
        <v>11500</v>
      </c>
      <c r="H219" s="1">
        <v>11500</v>
      </c>
      <c r="I219" s="1">
        <v>0</v>
      </c>
      <c r="J219" s="1">
        <v>0</v>
      </c>
      <c r="K219" s="8" t="str">
        <f>_xlfn.XLOOKUP(B219,'May 2025'!B:B,'May 2025'!K:K)</f>
        <v>L-10</v>
      </c>
    </row>
    <row r="220" spans="1:11" x14ac:dyDescent="0.3">
      <c r="A220" s="1">
        <v>219</v>
      </c>
      <c r="B220" s="1">
        <v>10122</v>
      </c>
      <c r="C220" s="5" t="s">
        <v>242</v>
      </c>
      <c r="D220" s="1" t="s">
        <v>565</v>
      </c>
      <c r="E220" s="8" t="s">
        <v>61</v>
      </c>
      <c r="F220" s="5" t="str">
        <f ca="1">_xlfn.XLOOKUP('April 2025'!C220,'January 2025'!C:C,'January 2025'!F:F)</f>
        <v>Manufacturing</v>
      </c>
      <c r="G220" s="1">
        <v>13000</v>
      </c>
      <c r="H220" s="1">
        <v>13000</v>
      </c>
      <c r="I220" s="1">
        <v>0</v>
      </c>
      <c r="J220" s="1">
        <v>0</v>
      </c>
      <c r="K220" s="8" t="s">
        <v>556</v>
      </c>
    </row>
    <row r="221" spans="1:11" x14ac:dyDescent="0.3">
      <c r="A221" s="1">
        <v>220</v>
      </c>
      <c r="B221" s="1">
        <v>10123</v>
      </c>
      <c r="C221" s="5" t="s">
        <v>243</v>
      </c>
      <c r="D221" s="1" t="s">
        <v>565</v>
      </c>
      <c r="E221" s="8" t="s">
        <v>53</v>
      </c>
      <c r="F221" s="5" t="str">
        <f>_xlfn.XLOOKUP(B221,'May 2025'!B:B,'June 2025'!F:F)</f>
        <v>Manufacturing</v>
      </c>
      <c r="G221" s="1">
        <v>12000</v>
      </c>
      <c r="H221" s="1">
        <v>12000</v>
      </c>
      <c r="I221" s="1">
        <v>0</v>
      </c>
      <c r="J221" s="1">
        <v>0</v>
      </c>
      <c r="K221" s="8" t="str">
        <f>_xlfn.XLOOKUP(B221,'May 2025'!B:B,'May 2025'!K:K)</f>
        <v>L-9</v>
      </c>
    </row>
    <row r="222" spans="1:11" x14ac:dyDescent="0.3">
      <c r="A222" s="1">
        <v>221</v>
      </c>
      <c r="B222" s="1">
        <v>10124</v>
      </c>
      <c r="C222" s="5" t="s">
        <v>244</v>
      </c>
      <c r="D222" s="1" t="s">
        <v>565</v>
      </c>
      <c r="E222" s="8" t="s">
        <v>35</v>
      </c>
      <c r="F222" s="5" t="str">
        <f>_xlfn.XLOOKUP(B222,'May 2025'!B:B,'June 2025'!F:F)</f>
        <v>Manufacturing</v>
      </c>
      <c r="G222" s="1">
        <v>14000</v>
      </c>
      <c r="H222" s="1">
        <v>14000</v>
      </c>
      <c r="I222" s="1">
        <v>0</v>
      </c>
      <c r="J222" s="1">
        <v>0</v>
      </c>
      <c r="K222" s="8" t="str">
        <f>_xlfn.XLOOKUP(B222,'May 2025'!B:B,'May 2025'!K:K)</f>
        <v>L-9</v>
      </c>
    </row>
    <row r="223" spans="1:11" x14ac:dyDescent="0.3">
      <c r="A223" s="1">
        <v>222</v>
      </c>
      <c r="B223" s="1">
        <v>10125</v>
      </c>
      <c r="C223" s="5" t="s">
        <v>245</v>
      </c>
      <c r="D223" s="1" t="s">
        <v>565</v>
      </c>
      <c r="E223" s="8" t="s">
        <v>53</v>
      </c>
      <c r="F223" s="5" t="str">
        <f>_xlfn.XLOOKUP(B223,'May 2025'!B:B,'June 2025'!F:F)</f>
        <v>Manufacturing</v>
      </c>
      <c r="G223" s="1">
        <v>14500</v>
      </c>
      <c r="H223" s="1">
        <v>14500</v>
      </c>
      <c r="I223" s="1">
        <v>0</v>
      </c>
      <c r="J223" s="1">
        <v>0</v>
      </c>
      <c r="K223" s="8" t="str">
        <f>_xlfn.XLOOKUP(B223,'May 2025'!B:B,'May 2025'!K:K)</f>
        <v>L-10</v>
      </c>
    </row>
    <row r="224" spans="1:11" x14ac:dyDescent="0.3">
      <c r="A224" s="1">
        <v>223</v>
      </c>
      <c r="B224" s="1">
        <v>10126</v>
      </c>
      <c r="C224" s="5" t="s">
        <v>246</v>
      </c>
      <c r="D224" s="1" t="s">
        <v>565</v>
      </c>
      <c r="E224" s="8" t="s">
        <v>35</v>
      </c>
      <c r="F224" s="5" t="str">
        <f ca="1">_xlfn.XLOOKUP('April 2025'!C224,'January 2025'!C:C,'January 2025'!F:F)</f>
        <v>Manufacturing</v>
      </c>
      <c r="G224" s="1">
        <v>14000</v>
      </c>
      <c r="H224" s="1">
        <v>14000</v>
      </c>
      <c r="I224" s="1">
        <v>0</v>
      </c>
      <c r="J224" s="1">
        <v>0</v>
      </c>
      <c r="K224" s="8" t="s">
        <v>556</v>
      </c>
    </row>
    <row r="225" spans="1:11" x14ac:dyDescent="0.3">
      <c r="A225" s="1">
        <v>224</v>
      </c>
      <c r="B225" s="1">
        <v>10127</v>
      </c>
      <c r="C225" s="5" t="s">
        <v>247</v>
      </c>
      <c r="D225" s="1" t="s">
        <v>565</v>
      </c>
      <c r="E225" s="8" t="s">
        <v>35</v>
      </c>
      <c r="F225" s="5" t="str">
        <f>_xlfn.XLOOKUP(B225,'May 2025'!B:B,'June 2025'!F:F)</f>
        <v>Manufacturing</v>
      </c>
      <c r="G225" s="1">
        <v>14000</v>
      </c>
      <c r="H225" s="1">
        <v>14000</v>
      </c>
      <c r="I225" s="1">
        <v>0</v>
      </c>
      <c r="J225" s="1">
        <v>0</v>
      </c>
      <c r="K225" s="8" t="str">
        <f>_xlfn.XLOOKUP(B225,'May 2025'!B:B,'May 2025'!K:K)</f>
        <v>L-9</v>
      </c>
    </row>
    <row r="226" spans="1:11" x14ac:dyDescent="0.3">
      <c r="A226" s="1">
        <v>225</v>
      </c>
      <c r="B226" s="1">
        <v>10128</v>
      </c>
      <c r="C226" s="5" t="s">
        <v>248</v>
      </c>
      <c r="D226" s="1" t="s">
        <v>565</v>
      </c>
      <c r="E226" s="8" t="s">
        <v>35</v>
      </c>
      <c r="F226" s="5" t="str">
        <f>_xlfn.XLOOKUP(B226,'May 2025'!B:B,'June 2025'!F:F)</f>
        <v>Manufacturing</v>
      </c>
      <c r="G226" s="1">
        <v>14000</v>
      </c>
      <c r="H226" s="1">
        <v>14000</v>
      </c>
      <c r="I226" s="1">
        <v>0</v>
      </c>
      <c r="J226" s="1">
        <v>0</v>
      </c>
      <c r="K226" s="8" t="str">
        <f>_xlfn.XLOOKUP(B226,'May 2025'!B:B,'May 2025'!K:K)</f>
        <v>L-9</v>
      </c>
    </row>
    <row r="227" spans="1:11" x14ac:dyDescent="0.3">
      <c r="A227" s="1">
        <v>226</v>
      </c>
      <c r="B227" s="1">
        <v>10129</v>
      </c>
      <c r="C227" s="5" t="s">
        <v>249</v>
      </c>
      <c r="D227" s="1" t="s">
        <v>565</v>
      </c>
      <c r="E227" s="8" t="s">
        <v>53</v>
      </c>
      <c r="F227" s="5" t="s">
        <v>501</v>
      </c>
      <c r="G227" s="1">
        <v>11000</v>
      </c>
      <c r="H227" s="1">
        <v>11000</v>
      </c>
      <c r="I227" s="1">
        <v>0</v>
      </c>
      <c r="J227" s="1">
        <v>0</v>
      </c>
      <c r="K227" s="8" t="s">
        <v>557</v>
      </c>
    </row>
    <row r="228" spans="1:11" x14ac:dyDescent="0.3">
      <c r="A228" s="1">
        <v>227</v>
      </c>
      <c r="B228" s="1">
        <v>10130</v>
      </c>
      <c r="C228" s="5" t="s">
        <v>250</v>
      </c>
      <c r="D228" s="1" t="s">
        <v>565</v>
      </c>
      <c r="E228" s="8" t="s">
        <v>35</v>
      </c>
      <c r="F228" s="5" t="str">
        <f>_xlfn.XLOOKUP(B228,'May 2025'!B:B,'June 2025'!F:F)</f>
        <v>Manufacturing</v>
      </c>
      <c r="G228" s="1">
        <v>13000</v>
      </c>
      <c r="H228" s="1">
        <v>13000</v>
      </c>
      <c r="I228" s="1">
        <v>0</v>
      </c>
      <c r="J228" s="1">
        <v>0</v>
      </c>
      <c r="K228" s="8" t="str">
        <f>_xlfn.XLOOKUP(B228,'May 2025'!B:B,'May 2025'!K:K)</f>
        <v>L-9</v>
      </c>
    </row>
    <row r="229" spans="1:11" x14ac:dyDescent="0.3">
      <c r="A229" s="1">
        <v>228</v>
      </c>
      <c r="B229" s="1">
        <v>61</v>
      </c>
      <c r="C229" s="5" t="s">
        <v>251</v>
      </c>
      <c r="D229" s="1" t="s">
        <v>564</v>
      </c>
      <c r="E229" s="8" t="s">
        <v>252</v>
      </c>
      <c r="F229" s="5" t="str">
        <f>_xlfn.XLOOKUP(C229,'[1]April 2025'!$C:$C,'[1]April 2025'!$I:$I,"")</f>
        <v>D2C</v>
      </c>
      <c r="G229" s="1">
        <v>28050</v>
      </c>
      <c r="H229" s="1">
        <v>26250</v>
      </c>
      <c r="I229" s="1">
        <v>1950</v>
      </c>
      <c r="J229" s="1">
        <v>0</v>
      </c>
      <c r="K229" s="8" t="s">
        <v>553</v>
      </c>
    </row>
    <row r="230" spans="1:11" x14ac:dyDescent="0.3">
      <c r="A230" s="1">
        <v>229</v>
      </c>
      <c r="B230" s="1">
        <v>10131</v>
      </c>
      <c r="C230" s="5" t="s">
        <v>253</v>
      </c>
      <c r="D230" s="1" t="s">
        <v>565</v>
      </c>
      <c r="E230" s="8" t="s">
        <v>53</v>
      </c>
      <c r="F230" s="5" t="str">
        <f>_xlfn.XLOOKUP(B230,'May 2025'!B:B,'June 2025'!F:F)</f>
        <v>Domestic</v>
      </c>
      <c r="G230" s="1">
        <v>11000</v>
      </c>
      <c r="H230" s="1">
        <v>11000</v>
      </c>
      <c r="I230" s="1">
        <v>0</v>
      </c>
      <c r="J230" s="1">
        <v>0</v>
      </c>
      <c r="K230" s="8" t="str">
        <f>_xlfn.XLOOKUP(B230,'May 2025'!B:B,'May 2025'!K:K)</f>
        <v>L-10</v>
      </c>
    </row>
    <row r="231" spans="1:11" x14ac:dyDescent="0.3">
      <c r="A231" s="1">
        <v>230</v>
      </c>
      <c r="B231" s="1">
        <v>10132</v>
      </c>
      <c r="C231" s="5" t="s">
        <v>254</v>
      </c>
      <c r="D231" s="1" t="s">
        <v>565</v>
      </c>
      <c r="E231" s="8" t="s">
        <v>35</v>
      </c>
      <c r="F231" s="5" t="str">
        <f>_xlfn.XLOOKUP(B231,'May 2025'!B:B,'June 2025'!F:F)</f>
        <v>Manufacturing</v>
      </c>
      <c r="G231" s="1">
        <v>13000</v>
      </c>
      <c r="H231" s="1">
        <v>13000</v>
      </c>
      <c r="I231" s="1">
        <v>0</v>
      </c>
      <c r="J231" s="1">
        <v>0</v>
      </c>
      <c r="K231" s="8" t="str">
        <f>_xlfn.XLOOKUP(B231,'May 2025'!B:B,'May 2025'!K:K)</f>
        <v>L-9</v>
      </c>
    </row>
    <row r="232" spans="1:11" x14ac:dyDescent="0.3">
      <c r="A232" s="1">
        <v>231</v>
      </c>
      <c r="B232" s="1">
        <v>10134</v>
      </c>
      <c r="C232" s="5" t="s">
        <v>255</v>
      </c>
      <c r="D232" s="1" t="s">
        <v>565</v>
      </c>
      <c r="E232" s="8" t="s">
        <v>35</v>
      </c>
      <c r="F232" s="5" t="str">
        <f>_xlfn.XLOOKUP(C232,'[1]April 2025'!$C:$C,'[1]April 2025'!$I:$I,"")</f>
        <v>Manufacturing</v>
      </c>
      <c r="G232" s="1">
        <v>14000</v>
      </c>
      <c r="H232" s="1">
        <v>14000</v>
      </c>
      <c r="I232" s="1">
        <v>0</v>
      </c>
      <c r="J232" s="1">
        <v>0</v>
      </c>
      <c r="K232" s="8" t="s">
        <v>556</v>
      </c>
    </row>
    <row r="233" spans="1:11" x14ac:dyDescent="0.3">
      <c r="A233" s="1">
        <v>232</v>
      </c>
      <c r="B233" s="1">
        <v>10135</v>
      </c>
      <c r="C233" s="5" t="s">
        <v>256</v>
      </c>
      <c r="D233" s="1" t="s">
        <v>565</v>
      </c>
      <c r="E233" s="8" t="s">
        <v>53</v>
      </c>
      <c r="F233" s="5" t="str">
        <f>_xlfn.XLOOKUP(B233,'May 2025'!B:B,'June 2025'!F:F)</f>
        <v>Manufacturing</v>
      </c>
      <c r="G233" s="1">
        <v>15500</v>
      </c>
      <c r="H233" s="1">
        <v>15500</v>
      </c>
      <c r="I233" s="1">
        <v>0</v>
      </c>
      <c r="J233" s="1">
        <v>0</v>
      </c>
      <c r="K233" s="8" t="str">
        <f>_xlfn.XLOOKUP(B233,'May 2025'!B:B,'May 2025'!K:K)</f>
        <v>L-10</v>
      </c>
    </row>
    <row r="234" spans="1:11" x14ac:dyDescent="0.3">
      <c r="A234" s="1">
        <v>233</v>
      </c>
      <c r="B234" s="1">
        <v>10136</v>
      </c>
      <c r="C234" s="5" t="s">
        <v>257</v>
      </c>
      <c r="D234" s="1" t="s">
        <v>565</v>
      </c>
      <c r="E234" s="8" t="s">
        <v>53</v>
      </c>
      <c r="F234" s="5" t="str">
        <f>_xlfn.XLOOKUP(C234,'[1]April 2025'!$C:$C,'[1]April 2025'!$I:$I,"")</f>
        <v>Domestic</v>
      </c>
      <c r="G234" s="1">
        <v>11000</v>
      </c>
      <c r="H234" s="1">
        <v>11000</v>
      </c>
      <c r="I234" s="1">
        <v>0</v>
      </c>
      <c r="J234" s="1">
        <v>0</v>
      </c>
      <c r="K234" s="8" t="s">
        <v>557</v>
      </c>
    </row>
    <row r="235" spans="1:11" x14ac:dyDescent="0.3">
      <c r="A235" s="1">
        <v>234</v>
      </c>
      <c r="B235" s="1">
        <v>10137</v>
      </c>
      <c r="C235" s="5" t="s">
        <v>258</v>
      </c>
      <c r="D235" s="1" t="s">
        <v>565</v>
      </c>
      <c r="E235" s="8" t="s">
        <v>53</v>
      </c>
      <c r="F235" s="5" t="str">
        <f>_xlfn.XLOOKUP(B235,'May 2025'!B:B,'June 2025'!F:F)</f>
        <v>Overseas</v>
      </c>
      <c r="G235" s="1">
        <v>11000</v>
      </c>
      <c r="H235" s="1">
        <v>11000</v>
      </c>
      <c r="I235" s="1">
        <v>0</v>
      </c>
      <c r="J235" s="1">
        <v>0</v>
      </c>
      <c r="K235" s="8" t="str">
        <f>_xlfn.XLOOKUP(B235,'May 2025'!B:B,'May 2025'!K:K)</f>
        <v>L-10</v>
      </c>
    </row>
    <row r="236" spans="1:11" x14ac:dyDescent="0.3">
      <c r="A236" s="1">
        <v>235</v>
      </c>
      <c r="B236" s="1">
        <v>10138</v>
      </c>
      <c r="C236" s="5" t="s">
        <v>259</v>
      </c>
      <c r="D236" s="1" t="s">
        <v>565</v>
      </c>
      <c r="E236" s="8" t="s">
        <v>53</v>
      </c>
      <c r="F236" s="5" t="str">
        <f>_xlfn.XLOOKUP(C236,'[1]April 2025'!$C:$C,'[1]April 2025'!$I:$I,"")</f>
        <v>Domestic</v>
      </c>
      <c r="G236" s="1">
        <v>11000</v>
      </c>
      <c r="H236" s="1">
        <v>11000</v>
      </c>
      <c r="I236" s="1">
        <v>0</v>
      </c>
      <c r="J236" s="1">
        <v>0</v>
      </c>
      <c r="K236" s="8" t="s">
        <v>557</v>
      </c>
    </row>
    <row r="237" spans="1:11" x14ac:dyDescent="0.3">
      <c r="A237" s="1">
        <v>236</v>
      </c>
      <c r="B237" s="1">
        <v>10139</v>
      </c>
      <c r="C237" s="5" t="s">
        <v>260</v>
      </c>
      <c r="D237" s="1" t="s">
        <v>565</v>
      </c>
      <c r="E237" s="8" t="s">
        <v>53</v>
      </c>
      <c r="F237" s="5" t="str">
        <f>_xlfn.XLOOKUP(B237,'May 2025'!B:B,'June 2025'!F:F)</f>
        <v>Manufacturing</v>
      </c>
      <c r="G237" s="1">
        <v>15000</v>
      </c>
      <c r="H237" s="1">
        <v>15000</v>
      </c>
      <c r="I237" s="1">
        <v>0</v>
      </c>
      <c r="J237" s="1">
        <v>0</v>
      </c>
      <c r="K237" s="8" t="str">
        <f>_xlfn.XLOOKUP(B237,'May 2025'!B:B,'May 2025'!K:K)</f>
        <v>L-9</v>
      </c>
    </row>
    <row r="238" spans="1:11" x14ac:dyDescent="0.3">
      <c r="A238" s="1">
        <v>237</v>
      </c>
      <c r="B238" s="1">
        <v>10140</v>
      </c>
      <c r="C238" s="5" t="s">
        <v>261</v>
      </c>
      <c r="D238" s="1" t="s">
        <v>565</v>
      </c>
      <c r="E238" s="8" t="s">
        <v>35</v>
      </c>
      <c r="F238" s="5" t="str">
        <f>_xlfn.XLOOKUP(B238,'May 2025'!B:B,'June 2025'!F:F)</f>
        <v>Manufacturing</v>
      </c>
      <c r="G238" s="1">
        <v>12500</v>
      </c>
      <c r="H238" s="1">
        <v>12500</v>
      </c>
      <c r="I238" s="1">
        <v>0</v>
      </c>
      <c r="J238" s="1">
        <v>0</v>
      </c>
      <c r="K238" s="8" t="str">
        <f>_xlfn.XLOOKUP(B238,'May 2025'!B:B,'May 2025'!K:K)</f>
        <v>L-9</v>
      </c>
    </row>
    <row r="239" spans="1:11" x14ac:dyDescent="0.3">
      <c r="A239" s="1">
        <v>238</v>
      </c>
      <c r="B239" s="1">
        <v>10141</v>
      </c>
      <c r="C239" s="5" t="s">
        <v>262</v>
      </c>
      <c r="D239" s="1" t="s">
        <v>565</v>
      </c>
      <c r="E239" s="8" t="s">
        <v>53</v>
      </c>
      <c r="F239" s="5" t="s">
        <v>501</v>
      </c>
      <c r="G239" s="1">
        <v>11000</v>
      </c>
      <c r="H239" s="1">
        <v>11000</v>
      </c>
      <c r="I239" s="1">
        <v>0</v>
      </c>
      <c r="J239" s="1">
        <v>0</v>
      </c>
      <c r="K239" s="8" t="s">
        <v>557</v>
      </c>
    </row>
    <row r="240" spans="1:11" x14ac:dyDescent="0.3">
      <c r="A240" s="1">
        <v>239</v>
      </c>
      <c r="B240" s="1">
        <v>10142</v>
      </c>
      <c r="C240" s="5" t="s">
        <v>265</v>
      </c>
      <c r="D240" s="1" t="s">
        <v>565</v>
      </c>
      <c r="E240" s="8" t="s">
        <v>35</v>
      </c>
      <c r="F240" s="5" t="str">
        <f>_xlfn.XLOOKUP(B240,'May 2025'!B:B,'June 2025'!F:F)</f>
        <v>Manufacturing</v>
      </c>
      <c r="G240" s="1">
        <v>14000</v>
      </c>
      <c r="H240" s="1">
        <v>14000</v>
      </c>
      <c r="I240" s="1">
        <v>0</v>
      </c>
      <c r="J240" s="1">
        <v>0</v>
      </c>
      <c r="K240" s="8" t="str">
        <f>_xlfn.XLOOKUP(B240,'May 2025'!B:B,'May 2025'!K:K)</f>
        <v>L-9</v>
      </c>
    </row>
    <row r="241" spans="1:11" x14ac:dyDescent="0.3">
      <c r="A241" s="1">
        <v>240</v>
      </c>
      <c r="B241" s="1">
        <v>10143</v>
      </c>
      <c r="C241" s="5" t="s">
        <v>266</v>
      </c>
      <c r="D241" s="1" t="s">
        <v>565</v>
      </c>
      <c r="E241" s="8" t="s">
        <v>267</v>
      </c>
      <c r="F241" s="5" t="str">
        <f>_xlfn.XLOOKUP(B241,'May 2025'!B:B,'June 2025'!F:F)</f>
        <v>Manufacturing</v>
      </c>
      <c r="G241" s="1">
        <v>14000</v>
      </c>
      <c r="H241" s="1">
        <v>14000</v>
      </c>
      <c r="I241" s="1">
        <v>0</v>
      </c>
      <c r="J241" s="1">
        <v>0</v>
      </c>
      <c r="K241" s="8" t="str">
        <f>_xlfn.XLOOKUP(B241,'May 2025'!B:B,'May 2025'!K:K)</f>
        <v>L-9</v>
      </c>
    </row>
    <row r="242" spans="1:11" x14ac:dyDescent="0.3">
      <c r="A242" s="1">
        <v>241</v>
      </c>
      <c r="B242" s="1">
        <v>10144</v>
      </c>
      <c r="C242" s="5" t="s">
        <v>268</v>
      </c>
      <c r="D242" s="1" t="s">
        <v>565</v>
      </c>
      <c r="E242" s="8" t="s">
        <v>35</v>
      </c>
      <c r="F242" s="5" t="str">
        <f>_xlfn.XLOOKUP(C242,'[1]April 2025'!$C:$C,'[1]April 2025'!$I:$I,"")</f>
        <v>Manufacturing</v>
      </c>
      <c r="G242" s="1">
        <v>12500</v>
      </c>
      <c r="H242" s="1">
        <v>12500</v>
      </c>
      <c r="I242" s="1">
        <v>0</v>
      </c>
      <c r="J242" s="1">
        <v>0</v>
      </c>
      <c r="K242" s="8" t="s">
        <v>556</v>
      </c>
    </row>
    <row r="243" spans="1:11" x14ac:dyDescent="0.3">
      <c r="A243" s="1">
        <v>242</v>
      </c>
      <c r="B243" s="1">
        <v>10145</v>
      </c>
      <c r="C243" s="5" t="s">
        <v>269</v>
      </c>
      <c r="D243" s="1" t="s">
        <v>565</v>
      </c>
      <c r="E243" s="8" t="s">
        <v>35</v>
      </c>
      <c r="F243" s="5" t="str">
        <f>_xlfn.XLOOKUP(C243,'[1]April 2025'!$C:$C,'[1]April 2025'!$I:$I,"")</f>
        <v>Manufacturing</v>
      </c>
      <c r="G243" s="1">
        <v>12500</v>
      </c>
      <c r="H243" s="1">
        <v>12500</v>
      </c>
      <c r="I243" s="1">
        <v>0</v>
      </c>
      <c r="J243" s="1">
        <v>0</v>
      </c>
      <c r="K243" s="8" t="s">
        <v>556</v>
      </c>
    </row>
    <row r="244" spans="1:11" x14ac:dyDescent="0.3">
      <c r="A244" s="1">
        <v>243</v>
      </c>
      <c r="B244" s="1">
        <v>10146</v>
      </c>
      <c r="C244" s="5" t="s">
        <v>270</v>
      </c>
      <c r="D244" s="1" t="s">
        <v>565</v>
      </c>
      <c r="E244" s="8" t="s">
        <v>61</v>
      </c>
      <c r="F244" s="5" t="str">
        <f>_xlfn.XLOOKUP(B244,'May 2025'!B:B,'June 2025'!F:F)</f>
        <v>Domestic</v>
      </c>
      <c r="G244" s="1">
        <v>13000</v>
      </c>
      <c r="H244" s="1">
        <v>13000</v>
      </c>
      <c r="I244" s="1">
        <v>0</v>
      </c>
      <c r="J244" s="1">
        <v>0</v>
      </c>
      <c r="K244" s="8" t="str">
        <f>_xlfn.XLOOKUP(B244,'May 2025'!B:B,'May 2025'!K:K)</f>
        <v>L-9</v>
      </c>
    </row>
    <row r="245" spans="1:11" x14ac:dyDescent="0.3">
      <c r="A245" s="1">
        <v>244</v>
      </c>
      <c r="B245" s="1">
        <v>10147</v>
      </c>
      <c r="C245" s="5" t="s">
        <v>271</v>
      </c>
      <c r="D245" s="1" t="s">
        <v>565</v>
      </c>
      <c r="E245" s="8" t="s">
        <v>130</v>
      </c>
      <c r="F245" s="5" t="str">
        <f>_xlfn.XLOOKUP(C245,'[1]April 2025'!$C:$C,'[1]April 2025'!$I:$I,"")</f>
        <v>Manufacturing</v>
      </c>
      <c r="G245" s="1">
        <v>8500</v>
      </c>
      <c r="H245" s="1">
        <v>8500</v>
      </c>
      <c r="I245" s="1">
        <v>0</v>
      </c>
      <c r="J245" s="1">
        <v>0</v>
      </c>
      <c r="K245" s="8" t="s">
        <v>556</v>
      </c>
    </row>
    <row r="246" spans="1:11" x14ac:dyDescent="0.3">
      <c r="A246" s="1">
        <v>245</v>
      </c>
      <c r="B246" s="1">
        <v>10148</v>
      </c>
      <c r="C246" s="5" t="s">
        <v>272</v>
      </c>
      <c r="D246" s="1" t="s">
        <v>565</v>
      </c>
      <c r="E246" s="8" t="s">
        <v>55</v>
      </c>
      <c r="F246" s="5" t="str">
        <f>_xlfn.XLOOKUP(B246,'May 2025'!B:B,'June 2025'!F:F)</f>
        <v>Manufacturing</v>
      </c>
      <c r="G246" s="1">
        <v>13000</v>
      </c>
      <c r="H246" s="1">
        <v>13000</v>
      </c>
      <c r="I246" s="1">
        <v>0</v>
      </c>
      <c r="J246" s="1">
        <v>0</v>
      </c>
      <c r="K246" s="8" t="str">
        <f>_xlfn.XLOOKUP(B246,'May 2025'!B:B,'May 2025'!K:K)</f>
        <v>L-7</v>
      </c>
    </row>
    <row r="247" spans="1:11" x14ac:dyDescent="0.3">
      <c r="A247" s="1">
        <v>246</v>
      </c>
      <c r="B247" s="1">
        <v>10149</v>
      </c>
      <c r="C247" s="5" t="s">
        <v>273</v>
      </c>
      <c r="D247" s="1" t="s">
        <v>565</v>
      </c>
      <c r="E247" s="8" t="s">
        <v>35</v>
      </c>
      <c r="F247" s="5" t="str">
        <f>_xlfn.XLOOKUP(C247,'[1]April 2025'!$C:$C,'[1]April 2025'!$I:$I,"")</f>
        <v>Manufacturing</v>
      </c>
      <c r="G247" s="1">
        <v>12500</v>
      </c>
      <c r="H247" s="1">
        <v>12500</v>
      </c>
      <c r="I247" s="1">
        <v>0</v>
      </c>
      <c r="J247" s="1">
        <v>0</v>
      </c>
      <c r="K247" s="8" t="s">
        <v>556</v>
      </c>
    </row>
    <row r="248" spans="1:11" x14ac:dyDescent="0.3">
      <c r="A248" s="1">
        <v>247</v>
      </c>
      <c r="B248" s="1">
        <v>10150</v>
      </c>
      <c r="C248" s="5" t="s">
        <v>274</v>
      </c>
      <c r="D248" s="1" t="s">
        <v>565</v>
      </c>
      <c r="E248" s="8" t="s">
        <v>35</v>
      </c>
      <c r="F248" s="5" t="str">
        <f>_xlfn.XLOOKUP(C248,'[1]April 2025'!$C:$C,'[1]April 2025'!$I:$I,"")</f>
        <v>Manufacturing</v>
      </c>
      <c r="G248" s="1">
        <v>13000</v>
      </c>
      <c r="H248" s="1">
        <v>13000</v>
      </c>
      <c r="I248" s="1">
        <v>0</v>
      </c>
      <c r="J248" s="1">
        <v>0</v>
      </c>
      <c r="K248" s="8" t="s">
        <v>556</v>
      </c>
    </row>
    <row r="249" spans="1:11" x14ac:dyDescent="0.3">
      <c r="A249" s="1">
        <v>248</v>
      </c>
      <c r="B249" s="1">
        <v>10151</v>
      </c>
      <c r="C249" s="5" t="s">
        <v>275</v>
      </c>
      <c r="D249" s="1" t="s">
        <v>565</v>
      </c>
      <c r="E249" s="8" t="s">
        <v>35</v>
      </c>
      <c r="F249" s="5" t="str">
        <f>_xlfn.XLOOKUP(B249,'May 2025'!B:B,'June 2025'!F:F)</f>
        <v>Manufacturing</v>
      </c>
      <c r="G249" s="1">
        <v>12000</v>
      </c>
      <c r="H249" s="1">
        <v>12000</v>
      </c>
      <c r="I249" s="1">
        <v>0</v>
      </c>
      <c r="J249" s="1">
        <v>0</v>
      </c>
      <c r="K249" s="8" t="str">
        <f>_xlfn.XLOOKUP(B249,'May 2025'!B:B,'May 2025'!K:K)</f>
        <v>L-9</v>
      </c>
    </row>
    <row r="250" spans="1:11" x14ac:dyDescent="0.3">
      <c r="A250" s="1">
        <v>249</v>
      </c>
      <c r="B250" s="1">
        <v>10152</v>
      </c>
      <c r="C250" s="5" t="s">
        <v>276</v>
      </c>
      <c r="D250" s="1" t="s">
        <v>565</v>
      </c>
      <c r="E250" s="8" t="s">
        <v>35</v>
      </c>
      <c r="F250" s="5" t="str">
        <f>_xlfn.XLOOKUP(B250,'May 2025'!B:B,'June 2025'!F:F)</f>
        <v>Domestic</v>
      </c>
      <c r="G250" s="1">
        <v>12000</v>
      </c>
      <c r="H250" s="1">
        <v>12000</v>
      </c>
      <c r="I250" s="1">
        <v>0</v>
      </c>
      <c r="J250" s="1">
        <v>0</v>
      </c>
      <c r="K250" s="8" t="str">
        <f>_xlfn.XLOOKUP(B250,'May 2025'!B:B,'May 2025'!K:K)</f>
        <v>L-9</v>
      </c>
    </row>
    <row r="251" spans="1:11" x14ac:dyDescent="0.3">
      <c r="A251" s="1">
        <v>250</v>
      </c>
      <c r="B251" s="1">
        <v>10153</v>
      </c>
      <c r="C251" s="5" t="s">
        <v>277</v>
      </c>
      <c r="D251" s="1" t="s">
        <v>565</v>
      </c>
      <c r="E251" s="8" t="s">
        <v>53</v>
      </c>
      <c r="F251" s="5" t="str">
        <f>_xlfn.XLOOKUP(B251,'May 2025'!B:B,'June 2025'!F:F)</f>
        <v>Manufacturing</v>
      </c>
      <c r="G251" s="1">
        <v>14000</v>
      </c>
      <c r="H251" s="1">
        <v>14000</v>
      </c>
      <c r="I251" s="1">
        <v>0</v>
      </c>
      <c r="J251" s="1">
        <v>0</v>
      </c>
      <c r="K251" s="8" t="str">
        <f>_xlfn.XLOOKUP(B251,'May 2025'!B:B,'May 2025'!K:K)</f>
        <v>L-10</v>
      </c>
    </row>
    <row r="252" spans="1:11" x14ac:dyDescent="0.3">
      <c r="A252" s="1">
        <v>251</v>
      </c>
      <c r="B252" s="1">
        <v>10154</v>
      </c>
      <c r="C252" s="5" t="s">
        <v>278</v>
      </c>
      <c r="D252" s="1" t="s">
        <v>565</v>
      </c>
      <c r="E252" s="8" t="s">
        <v>53</v>
      </c>
      <c r="F252" s="5" t="s">
        <v>501</v>
      </c>
      <c r="G252" s="1">
        <v>8500</v>
      </c>
      <c r="H252" s="1">
        <v>8500</v>
      </c>
      <c r="I252" s="1">
        <v>0</v>
      </c>
      <c r="J252" s="1">
        <v>0</v>
      </c>
      <c r="K252" s="8" t="s">
        <v>557</v>
      </c>
    </row>
    <row r="253" spans="1:11" x14ac:dyDescent="0.3">
      <c r="A253" s="1">
        <v>252</v>
      </c>
      <c r="B253" s="1">
        <v>10155</v>
      </c>
      <c r="C253" s="5" t="s">
        <v>279</v>
      </c>
      <c r="D253" s="1" t="s">
        <v>565</v>
      </c>
      <c r="E253" s="8" t="s">
        <v>53</v>
      </c>
      <c r="F253" s="5" t="s">
        <v>501</v>
      </c>
      <c r="G253" s="1">
        <v>8500</v>
      </c>
      <c r="H253" s="1">
        <v>8500</v>
      </c>
      <c r="I253" s="1">
        <v>0</v>
      </c>
      <c r="J253" s="1">
        <v>0</v>
      </c>
      <c r="K253" s="8" t="s">
        <v>557</v>
      </c>
    </row>
    <row r="254" spans="1:11" x14ac:dyDescent="0.3">
      <c r="A254" s="1">
        <v>253</v>
      </c>
      <c r="B254" s="1">
        <v>10156</v>
      </c>
      <c r="C254" s="5" t="s">
        <v>280</v>
      </c>
      <c r="D254" s="1" t="s">
        <v>565</v>
      </c>
      <c r="E254" s="8" t="s">
        <v>53</v>
      </c>
      <c r="F254" s="5" t="s">
        <v>501</v>
      </c>
      <c r="G254" s="1">
        <v>11000</v>
      </c>
      <c r="H254" s="1">
        <v>11000</v>
      </c>
      <c r="I254" s="1">
        <v>0</v>
      </c>
      <c r="J254" s="1">
        <v>0</v>
      </c>
      <c r="K254" s="8" t="s">
        <v>557</v>
      </c>
    </row>
    <row r="255" spans="1:11" x14ac:dyDescent="0.3">
      <c r="A255" s="1">
        <v>254</v>
      </c>
      <c r="B255" s="1">
        <v>62</v>
      </c>
      <c r="C255" s="5" t="s">
        <v>281</v>
      </c>
      <c r="D255" s="1" t="s">
        <v>564</v>
      </c>
      <c r="E255" s="8" t="s">
        <v>67</v>
      </c>
      <c r="F255" s="5" t="str">
        <f>_xlfn.XLOOKUP(B255,'May 2025'!B:B,'June 2025'!F:F)</f>
        <v>Manufacturing</v>
      </c>
      <c r="G255" s="1">
        <v>30000</v>
      </c>
      <c r="H255" s="1">
        <v>30000</v>
      </c>
      <c r="I255" s="1">
        <v>0</v>
      </c>
      <c r="J255" s="1">
        <v>0</v>
      </c>
      <c r="K255" s="8" t="str">
        <f>_xlfn.XLOOKUP(B255,'May 2025'!B:B,'May 2025'!K:K)</f>
        <v>L-9</v>
      </c>
    </row>
    <row r="256" spans="1:11" x14ac:dyDescent="0.3">
      <c r="A256" s="1">
        <v>255</v>
      </c>
      <c r="B256" s="1">
        <v>63</v>
      </c>
      <c r="C256" s="5" t="s">
        <v>284</v>
      </c>
      <c r="D256" s="1" t="s">
        <v>564</v>
      </c>
      <c r="E256" s="8" t="s">
        <v>208</v>
      </c>
      <c r="F256" s="5" t="str">
        <f>_xlfn.XLOOKUP(B256,'May 2025'!B:B,'June 2025'!F:F)</f>
        <v>Manufacturing</v>
      </c>
      <c r="G256" s="1">
        <v>43000</v>
      </c>
      <c r="H256" s="1">
        <v>41200</v>
      </c>
      <c r="I256" s="1">
        <v>1950</v>
      </c>
      <c r="J256" s="1">
        <v>0</v>
      </c>
      <c r="K256" s="8" t="str">
        <f>_xlfn.XLOOKUP(B256,'May 2025'!B:B,'May 2025'!K:K)</f>
        <v>L-5</v>
      </c>
    </row>
    <row r="257" spans="1:11" x14ac:dyDescent="0.3">
      <c r="A257" s="1">
        <v>256</v>
      </c>
      <c r="B257" s="1">
        <v>64</v>
      </c>
      <c r="C257" s="5" t="s">
        <v>285</v>
      </c>
      <c r="D257" s="1" t="s">
        <v>564</v>
      </c>
      <c r="E257" s="8" t="s">
        <v>286</v>
      </c>
      <c r="F257" s="5" t="str">
        <f>_xlfn.XLOOKUP(B257,'May 2025'!B:B,'June 2025'!F:F)</f>
        <v>Manufacturing</v>
      </c>
      <c r="G257" s="1">
        <v>5000</v>
      </c>
      <c r="H257" s="1">
        <v>4962</v>
      </c>
      <c r="I257" s="1">
        <v>0</v>
      </c>
      <c r="J257" s="1">
        <v>163</v>
      </c>
      <c r="K257" s="8" t="str">
        <f>_xlfn.XLOOKUP(B257,'May 2025'!B:B,'May 2025'!K:K)</f>
        <v>L-7</v>
      </c>
    </row>
    <row r="258" spans="1:11" x14ac:dyDescent="0.3">
      <c r="A258" s="1">
        <v>257</v>
      </c>
      <c r="B258" s="1">
        <v>10157</v>
      </c>
      <c r="C258" s="5" t="s">
        <v>287</v>
      </c>
      <c r="D258" s="1" t="s">
        <v>565</v>
      </c>
      <c r="E258" s="8" t="s">
        <v>35</v>
      </c>
      <c r="F258" s="5" t="str">
        <f>_xlfn.XLOOKUP(B258,'May 2025'!B:B,'June 2025'!F:F)</f>
        <v>Manufacturing</v>
      </c>
      <c r="G258" s="1">
        <v>11500</v>
      </c>
      <c r="H258" s="1">
        <v>11500</v>
      </c>
      <c r="I258" s="1">
        <v>0</v>
      </c>
      <c r="J258" s="1">
        <v>0</v>
      </c>
      <c r="K258" s="8" t="str">
        <f>_xlfn.XLOOKUP(B258,'May 2025'!B:B,'May 2025'!K:K)</f>
        <v>L-9</v>
      </c>
    </row>
    <row r="259" spans="1:11" x14ac:dyDescent="0.3">
      <c r="A259" s="1">
        <v>258</v>
      </c>
      <c r="B259" s="1">
        <v>10158</v>
      </c>
      <c r="C259" s="5" t="s">
        <v>288</v>
      </c>
      <c r="D259" s="1" t="s">
        <v>565</v>
      </c>
      <c r="E259" s="8" t="s">
        <v>235</v>
      </c>
      <c r="F259" s="5" t="str">
        <f>_xlfn.XLOOKUP(B259,'May 2025'!B:B,'June 2025'!F:F)</f>
        <v>Manufacturing</v>
      </c>
      <c r="G259" s="1">
        <v>25000</v>
      </c>
      <c r="H259" s="1">
        <v>25000</v>
      </c>
      <c r="I259" s="1">
        <v>0</v>
      </c>
      <c r="J259" s="1">
        <v>0</v>
      </c>
      <c r="K259" s="8" t="str">
        <f>_xlfn.XLOOKUP(B259,'May 2025'!B:B,'May 2025'!K:K)</f>
        <v>L-9</v>
      </c>
    </row>
    <row r="260" spans="1:11" x14ac:dyDescent="0.3">
      <c r="A260" s="1">
        <v>259</v>
      </c>
      <c r="B260" s="1">
        <v>10159</v>
      </c>
      <c r="C260" s="5" t="s">
        <v>289</v>
      </c>
      <c r="D260" s="1" t="s">
        <v>565</v>
      </c>
      <c r="E260" s="8" t="s">
        <v>35</v>
      </c>
      <c r="F260" s="5" t="str">
        <f>_xlfn.XLOOKUP(C260,'[1]April 2025'!$C:$C,'[1]April 2025'!$I:$I,"")</f>
        <v>Manufacturing</v>
      </c>
      <c r="G260" s="1">
        <v>12500</v>
      </c>
      <c r="H260" s="1">
        <v>12500</v>
      </c>
      <c r="I260" s="1">
        <v>0</v>
      </c>
      <c r="J260" s="1">
        <v>0</v>
      </c>
      <c r="K260" s="8" t="s">
        <v>556</v>
      </c>
    </row>
    <row r="261" spans="1:11" x14ac:dyDescent="0.3">
      <c r="A261" s="1">
        <v>260</v>
      </c>
      <c r="B261" s="1">
        <v>10160</v>
      </c>
      <c r="C261" s="5" t="s">
        <v>290</v>
      </c>
      <c r="D261" s="1" t="s">
        <v>565</v>
      </c>
      <c r="E261" s="8" t="s">
        <v>35</v>
      </c>
      <c r="F261" s="5" t="str">
        <f>_xlfn.XLOOKUP(B261,'May 2025'!B:B,'June 2025'!F:F)</f>
        <v>Manufacturing</v>
      </c>
      <c r="G261" s="1">
        <v>13000</v>
      </c>
      <c r="H261" s="1">
        <v>13000</v>
      </c>
      <c r="I261" s="1">
        <v>0</v>
      </c>
      <c r="J261" s="1">
        <v>0</v>
      </c>
      <c r="K261" s="8" t="str">
        <f>_xlfn.XLOOKUP(B261,'May 2025'!B:B,'May 2025'!K:K)</f>
        <v>L-9</v>
      </c>
    </row>
    <row r="262" spans="1:11" x14ac:dyDescent="0.3">
      <c r="A262" s="1">
        <v>261</v>
      </c>
      <c r="B262" s="1">
        <v>10161</v>
      </c>
      <c r="C262" s="5" t="s">
        <v>291</v>
      </c>
      <c r="D262" s="1" t="s">
        <v>565</v>
      </c>
      <c r="E262" s="8" t="s">
        <v>53</v>
      </c>
      <c r="F262" s="5" t="str">
        <f>_xlfn.XLOOKUP(C262,'[1]April 2025'!$C:$C,'[1]April 2025'!$I:$I,"")</f>
        <v>Domestic</v>
      </c>
      <c r="G262" s="1">
        <v>11500</v>
      </c>
      <c r="H262" s="1">
        <v>11500</v>
      </c>
      <c r="I262" s="1">
        <v>0</v>
      </c>
      <c r="J262" s="1">
        <v>0</v>
      </c>
      <c r="K262" s="8" t="s">
        <v>557</v>
      </c>
    </row>
    <row r="263" spans="1:11" x14ac:dyDescent="0.3">
      <c r="A263" s="1">
        <v>262</v>
      </c>
      <c r="B263" s="1">
        <v>10162</v>
      </c>
      <c r="C263" s="5" t="s">
        <v>151</v>
      </c>
      <c r="D263" s="1" t="s">
        <v>565</v>
      </c>
      <c r="E263" s="8" t="s">
        <v>35</v>
      </c>
      <c r="F263" s="5" t="str">
        <f>_xlfn.XLOOKUP(B263,'May 2025'!B:B,'June 2025'!F:F)</f>
        <v>Manufacturing</v>
      </c>
      <c r="G263" s="1">
        <v>13500</v>
      </c>
      <c r="H263" s="1">
        <v>13500</v>
      </c>
      <c r="I263" s="1">
        <v>0</v>
      </c>
      <c r="J263" s="1">
        <v>0</v>
      </c>
      <c r="K263" s="8" t="str">
        <f>_xlfn.XLOOKUP(B263,'May 2025'!B:B,'May 2025'!K:K)</f>
        <v>L-9</v>
      </c>
    </row>
    <row r="264" spans="1:11" x14ac:dyDescent="0.3">
      <c r="A264" s="1">
        <v>263</v>
      </c>
      <c r="B264" s="1">
        <v>10163</v>
      </c>
      <c r="C264" s="5" t="s">
        <v>292</v>
      </c>
      <c r="D264" s="1" t="s">
        <v>565</v>
      </c>
      <c r="E264" s="8" t="s">
        <v>35</v>
      </c>
      <c r="F264" s="5" t="str">
        <f>_xlfn.XLOOKUP(B264,'May 2025'!B:B,'June 2025'!F:F)</f>
        <v>Manufacturing</v>
      </c>
      <c r="G264" s="1">
        <v>12500</v>
      </c>
      <c r="H264" s="1">
        <v>12500</v>
      </c>
      <c r="I264" s="1">
        <v>0</v>
      </c>
      <c r="J264" s="1">
        <v>0</v>
      </c>
      <c r="K264" s="8" t="str">
        <f>_xlfn.XLOOKUP(B264,'May 2025'!B:B,'May 2025'!K:K)</f>
        <v>L-9</v>
      </c>
    </row>
    <row r="265" spans="1:11" x14ac:dyDescent="0.3">
      <c r="A265" s="1">
        <v>264</v>
      </c>
      <c r="B265" s="1">
        <v>10164</v>
      </c>
      <c r="C265" s="5" t="s">
        <v>38</v>
      </c>
      <c r="D265" s="1" t="s">
        <v>565</v>
      </c>
      <c r="E265" s="8" t="s">
        <v>35</v>
      </c>
      <c r="F265" s="5" t="str">
        <f>_xlfn.XLOOKUP(B265,'May 2025'!B:B,'June 2025'!F:F)</f>
        <v>Manufacturing</v>
      </c>
      <c r="G265" s="1">
        <v>11000</v>
      </c>
      <c r="H265" s="1">
        <v>11000</v>
      </c>
      <c r="I265" s="1">
        <v>0</v>
      </c>
      <c r="J265" s="1">
        <v>0</v>
      </c>
      <c r="K265" s="8" t="str">
        <f>_xlfn.XLOOKUP(B265,'May 2025'!B:B,'May 2025'!K:K)</f>
        <v>L-9</v>
      </c>
    </row>
    <row r="266" spans="1:11" x14ac:dyDescent="0.3">
      <c r="A266" s="1">
        <v>265</v>
      </c>
      <c r="B266" s="1">
        <v>10165</v>
      </c>
      <c r="C266" s="5" t="s">
        <v>293</v>
      </c>
      <c r="D266" s="1" t="s">
        <v>565</v>
      </c>
      <c r="E266" s="8" t="s">
        <v>53</v>
      </c>
      <c r="F266" s="5" t="str">
        <f>_xlfn.XLOOKUP(B266,'May 2025'!B:B,'June 2025'!F:F)</f>
        <v>Manufacturing</v>
      </c>
      <c r="G266" s="1">
        <v>11000</v>
      </c>
      <c r="H266" s="1">
        <v>11000</v>
      </c>
      <c r="I266" s="1">
        <v>0</v>
      </c>
      <c r="J266" s="1">
        <v>0</v>
      </c>
      <c r="K266" s="8" t="str">
        <f>_xlfn.XLOOKUP(B266,'May 2025'!B:B,'May 2025'!K:K)</f>
        <v>L-10</v>
      </c>
    </row>
    <row r="267" spans="1:11" x14ac:dyDescent="0.3">
      <c r="A267" s="1">
        <v>266</v>
      </c>
      <c r="B267" s="1">
        <v>10166</v>
      </c>
      <c r="C267" s="5" t="s">
        <v>294</v>
      </c>
      <c r="D267" s="1" t="s">
        <v>565</v>
      </c>
      <c r="E267" s="8" t="s">
        <v>35</v>
      </c>
      <c r="F267" s="5" t="str">
        <f>_xlfn.XLOOKUP(B267,'May 2025'!B:B,'June 2025'!F:F)</f>
        <v>Manufacturing</v>
      </c>
      <c r="G267" s="1">
        <v>11000</v>
      </c>
      <c r="H267" s="1">
        <v>11000</v>
      </c>
      <c r="I267" s="1">
        <v>0</v>
      </c>
      <c r="J267" s="1">
        <v>0</v>
      </c>
      <c r="K267" s="8" t="str">
        <f>_xlfn.XLOOKUP(B267,'May 2025'!B:B,'May 2025'!K:K)</f>
        <v>L-9</v>
      </c>
    </row>
    <row r="268" spans="1:11" x14ac:dyDescent="0.3">
      <c r="A268" s="1">
        <v>267</v>
      </c>
      <c r="B268" s="1">
        <v>65</v>
      </c>
      <c r="C268" s="5" t="s">
        <v>295</v>
      </c>
      <c r="D268" s="1" t="s">
        <v>564</v>
      </c>
      <c r="E268" s="8" t="s">
        <v>67</v>
      </c>
      <c r="F268" s="5" t="str">
        <f>_xlfn.XLOOKUP(B268,'May 2025'!B:B,'June 2025'!F:F)</f>
        <v>Manufacturing</v>
      </c>
      <c r="G268" s="1">
        <v>30000</v>
      </c>
      <c r="H268" s="1">
        <v>30000</v>
      </c>
      <c r="I268" s="1">
        <v>0</v>
      </c>
      <c r="J268" s="1">
        <v>0</v>
      </c>
      <c r="K268" s="8" t="str">
        <f>_xlfn.XLOOKUP(B268,'May 2025'!B:B,'May 2025'!K:K)</f>
        <v>L-9</v>
      </c>
    </row>
    <row r="269" spans="1:11" x14ac:dyDescent="0.3">
      <c r="A269" s="1">
        <v>268</v>
      </c>
      <c r="B269" s="1">
        <v>66</v>
      </c>
      <c r="C269" s="5" t="s">
        <v>296</v>
      </c>
      <c r="D269" s="1" t="s">
        <v>564</v>
      </c>
      <c r="E269" s="8" t="s">
        <v>67</v>
      </c>
      <c r="F269" s="5" t="str">
        <f>_xlfn.XLOOKUP(B269,'May 2025'!B:B,'June 2025'!F:F)</f>
        <v>Manufacturing</v>
      </c>
      <c r="G269" s="1">
        <v>30000</v>
      </c>
      <c r="H269" s="1">
        <v>30000</v>
      </c>
      <c r="I269" s="1">
        <v>0</v>
      </c>
      <c r="J269" s="1">
        <v>0</v>
      </c>
      <c r="K269" s="8" t="str">
        <f>_xlfn.XLOOKUP(B269,'May 2025'!B:B,'May 2025'!K:K)</f>
        <v>L-9</v>
      </c>
    </row>
    <row r="270" spans="1:11" x14ac:dyDescent="0.3">
      <c r="A270" s="1">
        <v>269</v>
      </c>
      <c r="B270" s="1">
        <v>67</v>
      </c>
      <c r="C270" s="5" t="s">
        <v>297</v>
      </c>
      <c r="D270" s="1" t="s">
        <v>564</v>
      </c>
      <c r="E270" s="8" t="s">
        <v>67</v>
      </c>
      <c r="F270" s="5" t="str">
        <f>_xlfn.XLOOKUP(B270,'May 2025'!B:B,'June 2025'!F:F)</f>
        <v>Manufacturing</v>
      </c>
      <c r="G270" s="1">
        <v>30000</v>
      </c>
      <c r="H270" s="1">
        <v>30000</v>
      </c>
      <c r="I270" s="1">
        <v>0</v>
      </c>
      <c r="J270" s="1">
        <v>0</v>
      </c>
      <c r="K270" s="8" t="str">
        <f>_xlfn.XLOOKUP(B270,'May 2025'!B:B,'May 2025'!K:K)</f>
        <v>L-9</v>
      </c>
    </row>
    <row r="271" spans="1:11" x14ac:dyDescent="0.3">
      <c r="A271" s="1">
        <v>270</v>
      </c>
      <c r="B271" s="1">
        <v>68</v>
      </c>
      <c r="C271" s="5" t="s">
        <v>298</v>
      </c>
      <c r="D271" s="1" t="s">
        <v>564</v>
      </c>
      <c r="E271" s="8" t="s">
        <v>67</v>
      </c>
      <c r="F271" s="5" t="str">
        <f>_xlfn.XLOOKUP(B271,'May 2025'!B:B,'June 2025'!F:F)</f>
        <v>Manufacturing</v>
      </c>
      <c r="G271" s="1">
        <v>30000</v>
      </c>
      <c r="H271" s="1">
        <v>30000</v>
      </c>
      <c r="I271" s="1">
        <v>0</v>
      </c>
      <c r="J271" s="1">
        <v>0</v>
      </c>
      <c r="K271" s="8" t="str">
        <f>_xlfn.XLOOKUP(B271,'May 2025'!B:B,'May 2025'!K:K)</f>
        <v>L-9</v>
      </c>
    </row>
    <row r="272" spans="1:11" x14ac:dyDescent="0.3">
      <c r="A272" s="1">
        <v>271</v>
      </c>
      <c r="B272" s="1">
        <v>69</v>
      </c>
      <c r="C272" s="5" t="s">
        <v>299</v>
      </c>
      <c r="D272" s="1" t="s">
        <v>564</v>
      </c>
      <c r="E272" s="8" t="s">
        <v>67</v>
      </c>
      <c r="F272" s="5" t="str">
        <f>_xlfn.XLOOKUP(B272,'May 2025'!B:B,'June 2025'!F:F)</f>
        <v>Manufacturing</v>
      </c>
      <c r="G272" s="1">
        <v>30000</v>
      </c>
      <c r="H272" s="1">
        <v>30000</v>
      </c>
      <c r="I272" s="1">
        <v>0</v>
      </c>
      <c r="J272" s="1">
        <v>0</v>
      </c>
      <c r="K272" s="8" t="str">
        <f>_xlfn.XLOOKUP(B272,'May 2025'!B:B,'May 2025'!K:K)</f>
        <v>L-9</v>
      </c>
    </row>
    <row r="273" spans="1:11" x14ac:dyDescent="0.3">
      <c r="A273" s="1">
        <v>272</v>
      </c>
      <c r="B273" s="1">
        <v>70</v>
      </c>
      <c r="C273" s="5" t="s">
        <v>300</v>
      </c>
      <c r="D273" s="1" t="s">
        <v>564</v>
      </c>
      <c r="E273" s="8" t="s">
        <v>67</v>
      </c>
      <c r="F273" s="5" t="str">
        <f>_xlfn.XLOOKUP(B273,'May 2025'!B:B,'June 2025'!F:F)</f>
        <v>Manufacturing</v>
      </c>
      <c r="G273" s="1">
        <v>30000</v>
      </c>
      <c r="H273" s="1">
        <v>30000</v>
      </c>
      <c r="I273" s="1">
        <v>0</v>
      </c>
      <c r="J273" s="1">
        <v>0</v>
      </c>
      <c r="K273" s="8" t="str">
        <f>_xlfn.XLOOKUP(B273,'May 2025'!B:B,'May 2025'!K:K)</f>
        <v>L-9</v>
      </c>
    </row>
    <row r="274" spans="1:11" x14ac:dyDescent="0.3">
      <c r="A274" s="1">
        <v>273</v>
      </c>
      <c r="B274" s="1">
        <v>71</v>
      </c>
      <c r="C274" s="5" t="s">
        <v>301</v>
      </c>
      <c r="D274" s="1" t="s">
        <v>564</v>
      </c>
      <c r="E274" s="8" t="s">
        <v>67</v>
      </c>
      <c r="F274" s="5" t="str">
        <f>_xlfn.XLOOKUP(B274,'May 2025'!B:B,'June 2025'!F:F)</f>
        <v>Manufacturing</v>
      </c>
      <c r="G274" s="1">
        <v>30000</v>
      </c>
      <c r="H274" s="1">
        <v>30000</v>
      </c>
      <c r="I274" s="1">
        <v>0</v>
      </c>
      <c r="J274" s="1">
        <v>0</v>
      </c>
      <c r="K274" s="8" t="str">
        <f>_xlfn.XLOOKUP(B274,'May 2025'!B:B,'May 2025'!K:K)</f>
        <v>L-9</v>
      </c>
    </row>
    <row r="275" spans="1:11" x14ac:dyDescent="0.3">
      <c r="A275" s="1">
        <v>274</v>
      </c>
      <c r="B275" s="1">
        <v>72</v>
      </c>
      <c r="C275" s="5" t="s">
        <v>302</v>
      </c>
      <c r="D275" s="1" t="s">
        <v>564</v>
      </c>
      <c r="E275" s="8" t="s">
        <v>67</v>
      </c>
      <c r="F275" s="5" t="str">
        <f>_xlfn.XLOOKUP(B275,'May 2025'!B:B,'June 2025'!F:F)</f>
        <v>Manufacturing</v>
      </c>
      <c r="G275" s="1">
        <v>30000</v>
      </c>
      <c r="H275" s="1">
        <v>30000</v>
      </c>
      <c r="I275" s="1">
        <v>0</v>
      </c>
      <c r="J275" s="1">
        <v>0</v>
      </c>
      <c r="K275" s="8" t="str">
        <f>_xlfn.XLOOKUP(B275,'May 2025'!B:B,'May 2025'!K:K)</f>
        <v>L-9</v>
      </c>
    </row>
    <row r="276" spans="1:11" x14ac:dyDescent="0.3">
      <c r="A276" s="1">
        <v>275</v>
      </c>
      <c r="B276" s="1">
        <v>73</v>
      </c>
      <c r="C276" s="5" t="s">
        <v>303</v>
      </c>
      <c r="D276" s="1" t="s">
        <v>564</v>
      </c>
      <c r="E276" s="8" t="s">
        <v>67</v>
      </c>
      <c r="F276" s="5" t="str">
        <f>_xlfn.XLOOKUP(B276,'May 2025'!B:B,'June 2025'!F:F)</f>
        <v>Manufacturing</v>
      </c>
      <c r="G276" s="1">
        <v>30000</v>
      </c>
      <c r="H276" s="1">
        <v>30000</v>
      </c>
      <c r="I276" s="1">
        <v>0</v>
      </c>
      <c r="J276" s="1">
        <v>0</v>
      </c>
      <c r="K276" s="8" t="str">
        <f>_xlfn.XLOOKUP(B276,'May 2025'!B:B,'May 2025'!K:K)</f>
        <v>L-9</v>
      </c>
    </row>
    <row r="277" spans="1:11" x14ac:dyDescent="0.3">
      <c r="A277" s="1">
        <v>276</v>
      </c>
      <c r="B277" s="1">
        <v>74</v>
      </c>
      <c r="C277" s="5" t="s">
        <v>304</v>
      </c>
      <c r="D277" s="1" t="s">
        <v>564</v>
      </c>
      <c r="E277" s="8" t="s">
        <v>67</v>
      </c>
      <c r="F277" s="5" t="str">
        <f>_xlfn.XLOOKUP(B277,'May 2025'!B:B,'June 2025'!F:F)</f>
        <v>Manufacturing</v>
      </c>
      <c r="G277" s="1">
        <v>30000</v>
      </c>
      <c r="H277" s="1">
        <v>30000</v>
      </c>
      <c r="I277" s="1">
        <v>0</v>
      </c>
      <c r="J277" s="1">
        <v>0</v>
      </c>
      <c r="K277" s="8" t="str">
        <f>_xlfn.XLOOKUP(B277,'May 2025'!B:B,'May 2025'!K:K)</f>
        <v>L-9</v>
      </c>
    </row>
    <row r="278" spans="1:11" x14ac:dyDescent="0.3">
      <c r="A278" s="1">
        <v>277</v>
      </c>
      <c r="B278" s="1">
        <v>75</v>
      </c>
      <c r="C278" s="5" t="s">
        <v>305</v>
      </c>
      <c r="D278" s="1" t="s">
        <v>564</v>
      </c>
      <c r="E278" s="8" t="s">
        <v>67</v>
      </c>
      <c r="F278" s="5" t="str">
        <f>_xlfn.XLOOKUP(B278,'May 2025'!B:B,'June 2025'!F:F)</f>
        <v>Manufacturing</v>
      </c>
      <c r="G278" s="1">
        <v>30000</v>
      </c>
      <c r="H278" s="1">
        <v>30000</v>
      </c>
      <c r="I278" s="1">
        <v>0</v>
      </c>
      <c r="J278" s="1">
        <v>0</v>
      </c>
      <c r="K278" s="8" t="str">
        <f>_xlfn.XLOOKUP(B278,'May 2025'!B:B,'May 2025'!K:K)</f>
        <v>L-9</v>
      </c>
    </row>
    <row r="279" spans="1:11" x14ac:dyDescent="0.3">
      <c r="A279" s="1">
        <v>278</v>
      </c>
      <c r="B279" s="1">
        <v>76</v>
      </c>
      <c r="C279" s="5" t="s">
        <v>306</v>
      </c>
      <c r="D279" s="1" t="s">
        <v>564</v>
      </c>
      <c r="E279" s="8" t="s">
        <v>67</v>
      </c>
      <c r="F279" s="5" t="str">
        <f>_xlfn.XLOOKUP(B279,'May 2025'!B:B,'June 2025'!F:F)</f>
        <v>Manufacturing</v>
      </c>
      <c r="G279" s="1">
        <v>30000</v>
      </c>
      <c r="H279" s="1">
        <v>30000</v>
      </c>
      <c r="I279" s="1">
        <v>0</v>
      </c>
      <c r="J279" s="1">
        <v>0</v>
      </c>
      <c r="K279" s="8" t="str">
        <f>_xlfn.XLOOKUP(B279,'May 2025'!B:B,'May 2025'!K:K)</f>
        <v>L-9</v>
      </c>
    </row>
    <row r="280" spans="1:11" x14ac:dyDescent="0.3">
      <c r="A280" s="1">
        <v>279</v>
      </c>
      <c r="B280" s="1">
        <v>77</v>
      </c>
      <c r="C280" s="5" t="s">
        <v>307</v>
      </c>
      <c r="D280" s="1" t="s">
        <v>564</v>
      </c>
      <c r="E280" s="8" t="s">
        <v>67</v>
      </c>
      <c r="F280" s="5" t="str">
        <f>_xlfn.XLOOKUP(B280,'May 2025'!B:B,'June 2025'!F:F)</f>
        <v>Manufacturing</v>
      </c>
      <c r="G280" s="1">
        <v>30000</v>
      </c>
      <c r="H280" s="1">
        <v>30000</v>
      </c>
      <c r="I280" s="1">
        <v>0</v>
      </c>
      <c r="J280" s="1">
        <v>0</v>
      </c>
      <c r="K280" s="8" t="str">
        <f>_xlfn.XLOOKUP(B280,'May 2025'!B:B,'May 2025'!K:K)</f>
        <v>L-9</v>
      </c>
    </row>
    <row r="281" spans="1:11" x14ac:dyDescent="0.3">
      <c r="A281" s="1">
        <v>280</v>
      </c>
      <c r="B281" s="1">
        <v>78</v>
      </c>
      <c r="C281" s="5" t="s">
        <v>308</v>
      </c>
      <c r="D281" s="1" t="s">
        <v>564</v>
      </c>
      <c r="E281" s="8" t="s">
        <v>67</v>
      </c>
      <c r="F281" s="5" t="str">
        <f>_xlfn.XLOOKUP(B281,'May 2025'!B:B,'June 2025'!F:F)</f>
        <v>Manufacturing</v>
      </c>
      <c r="G281" s="1">
        <v>30000</v>
      </c>
      <c r="H281" s="1">
        <v>30000</v>
      </c>
      <c r="I281" s="1">
        <v>0</v>
      </c>
      <c r="J281" s="1">
        <v>0</v>
      </c>
      <c r="K281" s="8" t="str">
        <f>_xlfn.XLOOKUP(B281,'May 2025'!B:B,'May 2025'!K:K)</f>
        <v>L-9</v>
      </c>
    </row>
    <row r="282" spans="1:11" x14ac:dyDescent="0.3">
      <c r="A282" s="1">
        <v>281</v>
      </c>
      <c r="B282" s="1">
        <v>79</v>
      </c>
      <c r="C282" s="5" t="s">
        <v>309</v>
      </c>
      <c r="D282" s="1" t="s">
        <v>564</v>
      </c>
      <c r="E282" s="8" t="s">
        <v>67</v>
      </c>
      <c r="F282" s="5" t="str">
        <f>_xlfn.XLOOKUP(B282,'May 2025'!B:B,'June 2025'!F:F)</f>
        <v>Manufacturing</v>
      </c>
      <c r="G282" s="1">
        <v>30000</v>
      </c>
      <c r="H282" s="1">
        <v>30000</v>
      </c>
      <c r="I282" s="1">
        <v>0</v>
      </c>
      <c r="J282" s="1">
        <v>0</v>
      </c>
      <c r="K282" s="8" t="str">
        <f>_xlfn.XLOOKUP(B282,'May 2025'!B:B,'May 2025'!K:K)</f>
        <v>L-9</v>
      </c>
    </row>
    <row r="283" spans="1:11" x14ac:dyDescent="0.3">
      <c r="A283" s="1">
        <v>282</v>
      </c>
      <c r="B283" s="1">
        <v>80</v>
      </c>
      <c r="C283" s="5" t="s">
        <v>310</v>
      </c>
      <c r="D283" s="1" t="s">
        <v>564</v>
      </c>
      <c r="E283" s="8" t="s">
        <v>67</v>
      </c>
      <c r="F283" s="5" t="str">
        <f>_xlfn.XLOOKUP(B283,'May 2025'!B:B,'June 2025'!F:F)</f>
        <v>Manufacturing</v>
      </c>
      <c r="G283" s="1">
        <v>30000</v>
      </c>
      <c r="H283" s="1">
        <v>30000</v>
      </c>
      <c r="I283" s="1">
        <v>0</v>
      </c>
      <c r="J283" s="1">
        <v>0</v>
      </c>
      <c r="K283" s="8" t="str">
        <f>_xlfn.XLOOKUP(B283,'May 2025'!B:B,'May 2025'!K:K)</f>
        <v>L-9</v>
      </c>
    </row>
    <row r="284" spans="1:11" x14ac:dyDescent="0.3">
      <c r="A284" s="1">
        <v>283</v>
      </c>
      <c r="B284" s="1">
        <v>81</v>
      </c>
      <c r="C284" s="5" t="s">
        <v>311</v>
      </c>
      <c r="D284" s="1" t="s">
        <v>564</v>
      </c>
      <c r="E284" s="8" t="s">
        <v>67</v>
      </c>
      <c r="F284" s="5" t="str">
        <f>_xlfn.XLOOKUP(B284,'May 2025'!B:B,'June 2025'!F:F)</f>
        <v>Manufacturing</v>
      </c>
      <c r="G284" s="1">
        <v>30000</v>
      </c>
      <c r="H284" s="1">
        <v>30000</v>
      </c>
      <c r="I284" s="1">
        <v>0</v>
      </c>
      <c r="J284" s="1">
        <v>0</v>
      </c>
      <c r="K284" s="8" t="str">
        <f>_xlfn.XLOOKUP(B284,'May 2025'!B:B,'May 2025'!K:K)</f>
        <v>L-9</v>
      </c>
    </row>
    <row r="285" spans="1:11" x14ac:dyDescent="0.3">
      <c r="A285" s="1">
        <v>284</v>
      </c>
      <c r="B285" s="1">
        <v>82</v>
      </c>
      <c r="C285" s="5" t="s">
        <v>312</v>
      </c>
      <c r="D285" s="1" t="s">
        <v>564</v>
      </c>
      <c r="E285" s="8" t="s">
        <v>67</v>
      </c>
      <c r="F285" s="5" t="str">
        <f>_xlfn.XLOOKUP(B285,'May 2025'!B:B,'June 2025'!F:F)</f>
        <v xml:space="preserve">Admin </v>
      </c>
      <c r="G285" s="1">
        <v>30000</v>
      </c>
      <c r="H285" s="1">
        <v>30000</v>
      </c>
      <c r="I285" s="1">
        <v>0</v>
      </c>
      <c r="J285" s="1">
        <v>0</v>
      </c>
      <c r="K285" s="8" t="str">
        <f>_xlfn.XLOOKUP(B285,'May 2025'!B:B,'May 2025'!K:K)</f>
        <v>L-9</v>
      </c>
    </row>
    <row r="286" spans="1:11" x14ac:dyDescent="0.3">
      <c r="A286" s="1">
        <v>285</v>
      </c>
      <c r="B286" s="1">
        <v>83</v>
      </c>
      <c r="C286" s="5" t="s">
        <v>313</v>
      </c>
      <c r="D286" s="1" t="s">
        <v>564</v>
      </c>
      <c r="E286" s="8" t="s">
        <v>67</v>
      </c>
      <c r="F286" s="5" t="str">
        <f>_xlfn.XLOOKUP(B286,'May 2025'!B:B,'June 2025'!F:F)</f>
        <v>Domestic</v>
      </c>
      <c r="G286" s="1">
        <v>30000</v>
      </c>
      <c r="H286" s="1">
        <v>30000</v>
      </c>
      <c r="I286" s="1">
        <v>0</v>
      </c>
      <c r="J286" s="1">
        <v>0</v>
      </c>
      <c r="K286" s="8" t="str">
        <f>_xlfn.XLOOKUP(B286,'May 2025'!B:B,'May 2025'!K:K)</f>
        <v>L-9</v>
      </c>
    </row>
    <row r="287" spans="1:11" x14ac:dyDescent="0.3">
      <c r="A287" s="1">
        <v>286</v>
      </c>
      <c r="B287" s="1">
        <v>84</v>
      </c>
      <c r="C287" s="5" t="s">
        <v>314</v>
      </c>
      <c r="D287" s="1" t="s">
        <v>564</v>
      </c>
      <c r="E287" s="8" t="s">
        <v>67</v>
      </c>
      <c r="F287" s="5" t="str">
        <f>_xlfn.XLOOKUP(B287,'May 2025'!B:B,'June 2025'!F:F)</f>
        <v>Manufacturing</v>
      </c>
      <c r="G287" s="1">
        <v>30000</v>
      </c>
      <c r="H287" s="1">
        <v>30000</v>
      </c>
      <c r="I287" s="1">
        <v>0</v>
      </c>
      <c r="J287" s="1">
        <v>0</v>
      </c>
      <c r="K287" s="8" t="str">
        <f>_xlfn.XLOOKUP(B287,'May 2025'!B:B,'May 2025'!K:K)</f>
        <v>L-9</v>
      </c>
    </row>
    <row r="288" spans="1:11" x14ac:dyDescent="0.3">
      <c r="A288" s="1">
        <v>287</v>
      </c>
      <c r="B288" s="1">
        <v>85</v>
      </c>
      <c r="C288" s="5" t="s">
        <v>315</v>
      </c>
      <c r="D288" s="1" t="s">
        <v>564</v>
      </c>
      <c r="E288" s="8" t="s">
        <v>67</v>
      </c>
      <c r="F288" s="5" t="str">
        <f>_xlfn.XLOOKUP(B288,'May 2025'!B:B,'June 2025'!F:F)</f>
        <v xml:space="preserve">Admin </v>
      </c>
      <c r="G288" s="1">
        <v>30000</v>
      </c>
      <c r="H288" s="1">
        <v>30000</v>
      </c>
      <c r="I288" s="1">
        <v>0</v>
      </c>
      <c r="J288" s="1">
        <v>0</v>
      </c>
      <c r="K288" s="8" t="str">
        <f>_xlfn.XLOOKUP(B288,'May 2025'!B:B,'May 2025'!K:K)</f>
        <v>L-9</v>
      </c>
    </row>
    <row r="289" spans="1:11" x14ac:dyDescent="0.3">
      <c r="A289" s="1">
        <v>288</v>
      </c>
      <c r="B289" s="1">
        <v>86</v>
      </c>
      <c r="C289" s="5" t="s">
        <v>316</v>
      </c>
      <c r="D289" s="1" t="s">
        <v>564</v>
      </c>
      <c r="E289" s="8" t="s">
        <v>67</v>
      </c>
      <c r="F289" s="5" t="str">
        <f>_xlfn.XLOOKUP(B289,'May 2025'!B:B,'June 2025'!F:F)</f>
        <v>Domestic</v>
      </c>
      <c r="G289" s="1">
        <v>30000</v>
      </c>
      <c r="H289" s="1">
        <v>30000</v>
      </c>
      <c r="I289" s="1">
        <v>0</v>
      </c>
      <c r="J289" s="1">
        <v>0</v>
      </c>
      <c r="K289" s="8" t="str">
        <f>_xlfn.XLOOKUP(B289,'May 2025'!B:B,'May 2025'!K:K)</f>
        <v>L-9</v>
      </c>
    </row>
    <row r="290" spans="1:11" x14ac:dyDescent="0.3">
      <c r="A290" s="1">
        <v>289</v>
      </c>
      <c r="B290" s="1">
        <v>87</v>
      </c>
      <c r="C290" s="5" t="s">
        <v>317</v>
      </c>
      <c r="D290" s="1" t="s">
        <v>564</v>
      </c>
      <c r="E290" s="8" t="s">
        <v>67</v>
      </c>
      <c r="F290" s="5" t="str">
        <f>_xlfn.XLOOKUP(B290,'May 2025'!B:B,'June 2025'!F:F)</f>
        <v>D2C</v>
      </c>
      <c r="G290" s="1">
        <v>30000</v>
      </c>
      <c r="H290" s="1">
        <v>30000</v>
      </c>
      <c r="I290" s="1">
        <v>0</v>
      </c>
      <c r="J290" s="1">
        <v>0</v>
      </c>
      <c r="K290" s="8" t="str">
        <f>_xlfn.XLOOKUP(B290,'May 2025'!B:B,'May 2025'!K:K)</f>
        <v>L-9</v>
      </c>
    </row>
    <row r="291" spans="1:11" x14ac:dyDescent="0.3">
      <c r="A291" s="1">
        <v>290</v>
      </c>
      <c r="B291" s="1">
        <v>88</v>
      </c>
      <c r="C291" s="5" t="s">
        <v>318</v>
      </c>
      <c r="D291" s="1" t="s">
        <v>564</v>
      </c>
      <c r="E291" s="8" t="s">
        <v>67</v>
      </c>
      <c r="F291" s="5" t="str">
        <f>_xlfn.XLOOKUP(B291,'May 2025'!B:B,'June 2025'!F:F)</f>
        <v>D2C</v>
      </c>
      <c r="G291" s="1">
        <v>30000</v>
      </c>
      <c r="H291" s="1">
        <v>30000</v>
      </c>
      <c r="I291" s="1">
        <v>0</v>
      </c>
      <c r="J291" s="1">
        <v>0</v>
      </c>
      <c r="K291" s="8" t="str">
        <f>_xlfn.XLOOKUP(B291,'May 2025'!B:B,'May 2025'!K:K)</f>
        <v>L-9</v>
      </c>
    </row>
    <row r="292" spans="1:11" x14ac:dyDescent="0.3">
      <c r="A292" s="1">
        <v>291</v>
      </c>
      <c r="B292" s="1">
        <v>89</v>
      </c>
      <c r="C292" s="5" t="s">
        <v>319</v>
      </c>
      <c r="D292" s="1" t="s">
        <v>564</v>
      </c>
      <c r="E292" s="8" t="s">
        <v>67</v>
      </c>
      <c r="F292" s="5" t="str">
        <f>_xlfn.XLOOKUP(B292,'May 2025'!B:B,'June 2025'!F:F)</f>
        <v xml:space="preserve">Admin </v>
      </c>
      <c r="G292" s="1">
        <v>30000</v>
      </c>
      <c r="H292" s="1">
        <v>30000</v>
      </c>
      <c r="I292" s="1">
        <v>0</v>
      </c>
      <c r="J292" s="1">
        <v>0</v>
      </c>
      <c r="K292" s="8" t="str">
        <f>_xlfn.XLOOKUP(B292,'May 2025'!B:B,'May 2025'!K:K)</f>
        <v>L-9</v>
      </c>
    </row>
    <row r="293" spans="1:11" x14ac:dyDescent="0.3">
      <c r="A293" s="1">
        <v>292</v>
      </c>
      <c r="B293" s="1">
        <v>90</v>
      </c>
      <c r="C293" s="5" t="s">
        <v>320</v>
      </c>
      <c r="D293" s="1" t="s">
        <v>564</v>
      </c>
      <c r="E293" s="8" t="s">
        <v>67</v>
      </c>
      <c r="F293" s="5" t="str">
        <f>_xlfn.XLOOKUP(B293,'May 2025'!B:B,'June 2025'!F:F)</f>
        <v>Manufacturing</v>
      </c>
      <c r="G293" s="1">
        <v>30000</v>
      </c>
      <c r="H293" s="1">
        <v>30000</v>
      </c>
      <c r="I293" s="1">
        <v>0</v>
      </c>
      <c r="J293" s="1">
        <v>0</v>
      </c>
      <c r="K293" s="8" t="str">
        <f>_xlfn.XLOOKUP(B293,'May 2025'!B:B,'May 2025'!K:K)</f>
        <v>L-9</v>
      </c>
    </row>
    <row r="294" spans="1:11" x14ac:dyDescent="0.3">
      <c r="A294" s="1">
        <v>293</v>
      </c>
      <c r="B294" s="1">
        <v>91</v>
      </c>
      <c r="C294" s="5" t="s">
        <v>321</v>
      </c>
      <c r="D294" s="1" t="s">
        <v>564</v>
      </c>
      <c r="E294" s="8" t="s">
        <v>67</v>
      </c>
      <c r="F294" s="5" t="str">
        <f>_xlfn.XLOOKUP(B294,'May 2025'!B:B,'June 2025'!F:F)</f>
        <v>Manufacturing</v>
      </c>
      <c r="G294" s="1">
        <v>30000</v>
      </c>
      <c r="H294" s="1">
        <v>30000</v>
      </c>
      <c r="I294" s="1">
        <v>0</v>
      </c>
      <c r="J294" s="1">
        <v>0</v>
      </c>
      <c r="K294" s="8" t="str">
        <f>_xlfn.XLOOKUP(B294,'May 2025'!B:B,'May 2025'!K:K)</f>
        <v>L-9</v>
      </c>
    </row>
    <row r="295" spans="1:11" x14ac:dyDescent="0.3">
      <c r="A295" s="1">
        <v>294</v>
      </c>
      <c r="B295" s="1">
        <v>92</v>
      </c>
      <c r="C295" s="5" t="s">
        <v>322</v>
      </c>
      <c r="D295" s="1" t="s">
        <v>564</v>
      </c>
      <c r="E295" s="8" t="s">
        <v>67</v>
      </c>
      <c r="F295" s="5" t="str">
        <f>_xlfn.XLOOKUP(B295,'May 2025'!B:B,'June 2025'!F:F)</f>
        <v>Domestic</v>
      </c>
      <c r="G295" s="1">
        <v>30000</v>
      </c>
      <c r="H295" s="1">
        <v>30000</v>
      </c>
      <c r="I295" s="1">
        <v>0</v>
      </c>
      <c r="J295" s="1">
        <v>0</v>
      </c>
      <c r="K295" s="8" t="str">
        <f>_xlfn.XLOOKUP(B295,'May 2025'!B:B,'May 2025'!K:K)</f>
        <v>L-9</v>
      </c>
    </row>
    <row r="296" spans="1:11" x14ac:dyDescent="0.3">
      <c r="A296" s="1">
        <v>295</v>
      </c>
      <c r="B296" s="1">
        <v>93</v>
      </c>
      <c r="C296" s="5" t="s">
        <v>323</v>
      </c>
      <c r="D296" s="1" t="s">
        <v>564</v>
      </c>
      <c r="E296" s="8" t="s">
        <v>67</v>
      </c>
      <c r="F296" s="5" t="str">
        <f>_xlfn.XLOOKUP(B296,'May 2025'!B:B,'June 2025'!F:F)</f>
        <v>Manufacturing</v>
      </c>
      <c r="G296" s="1">
        <v>30000</v>
      </c>
      <c r="H296" s="1">
        <v>30000</v>
      </c>
      <c r="I296" s="1">
        <v>0</v>
      </c>
      <c r="J296" s="1">
        <v>0</v>
      </c>
      <c r="K296" s="8" t="str">
        <f>_xlfn.XLOOKUP(B296,'May 2025'!B:B,'May 2025'!K:K)</f>
        <v>L-9</v>
      </c>
    </row>
    <row r="297" spans="1:11" x14ac:dyDescent="0.3">
      <c r="A297" s="1">
        <v>296</v>
      </c>
      <c r="B297" s="1">
        <v>94</v>
      </c>
      <c r="C297" s="5" t="s">
        <v>324</v>
      </c>
      <c r="D297" s="1" t="s">
        <v>564</v>
      </c>
      <c r="E297" s="8" t="s">
        <v>67</v>
      </c>
      <c r="F297" s="5" t="str">
        <f>_xlfn.XLOOKUP(B297,'May 2025'!B:B,'June 2025'!F:F)</f>
        <v xml:space="preserve">Admin </v>
      </c>
      <c r="G297" s="1">
        <v>30000</v>
      </c>
      <c r="H297" s="1">
        <v>30000</v>
      </c>
      <c r="I297" s="1">
        <v>0</v>
      </c>
      <c r="J297" s="1">
        <v>0</v>
      </c>
      <c r="K297" s="8" t="str">
        <f>_xlfn.XLOOKUP(B297,'May 2025'!B:B,'May 2025'!K:K)</f>
        <v>L-9</v>
      </c>
    </row>
    <row r="298" spans="1:11" x14ac:dyDescent="0.3">
      <c r="A298" s="1">
        <v>297</v>
      </c>
      <c r="B298" s="1">
        <v>95</v>
      </c>
      <c r="C298" s="5" t="s">
        <v>325</v>
      </c>
      <c r="D298" s="1" t="s">
        <v>564</v>
      </c>
      <c r="E298" s="8" t="s">
        <v>67</v>
      </c>
      <c r="F298" s="5" t="s">
        <v>501</v>
      </c>
      <c r="G298" s="1">
        <v>30000</v>
      </c>
      <c r="H298" s="1">
        <v>30000</v>
      </c>
      <c r="I298" s="1">
        <v>0</v>
      </c>
      <c r="J298" s="1">
        <v>0</v>
      </c>
      <c r="K298" s="8" t="s">
        <v>556</v>
      </c>
    </row>
    <row r="299" spans="1:11" x14ac:dyDescent="0.3">
      <c r="A299" s="1">
        <v>298</v>
      </c>
      <c r="B299" s="1">
        <v>96</v>
      </c>
      <c r="C299" s="5" t="s">
        <v>326</v>
      </c>
      <c r="D299" s="1" t="s">
        <v>564</v>
      </c>
      <c r="E299" s="8" t="s">
        <v>67</v>
      </c>
      <c r="F299" s="5" t="str">
        <f>_xlfn.XLOOKUP(B299,'May 2025'!B:B,'June 2025'!F:F)</f>
        <v>Manufacturing</v>
      </c>
      <c r="G299" s="1">
        <v>30000</v>
      </c>
      <c r="H299" s="1">
        <v>30000</v>
      </c>
      <c r="I299" s="1">
        <v>0</v>
      </c>
      <c r="J299" s="1">
        <v>0</v>
      </c>
      <c r="K299" s="8" t="str">
        <f>_xlfn.XLOOKUP(B299,'May 2025'!B:B,'May 2025'!K:K)</f>
        <v>L-9</v>
      </c>
    </row>
    <row r="300" spans="1:11" x14ac:dyDescent="0.3">
      <c r="A300" s="1">
        <v>299</v>
      </c>
      <c r="B300" s="1">
        <v>97</v>
      </c>
      <c r="C300" s="5" t="s">
        <v>327</v>
      </c>
      <c r="D300" s="1" t="s">
        <v>564</v>
      </c>
      <c r="E300" s="8" t="s">
        <v>67</v>
      </c>
      <c r="F300" s="5" t="str">
        <f>_xlfn.XLOOKUP(B300,'May 2025'!B:B,'June 2025'!F:F)</f>
        <v>Manufacturing</v>
      </c>
      <c r="G300" s="1">
        <v>30000</v>
      </c>
      <c r="H300" s="1">
        <v>30000</v>
      </c>
      <c r="I300" s="1">
        <v>0</v>
      </c>
      <c r="J300" s="1">
        <v>0</v>
      </c>
      <c r="K300" s="8" t="str">
        <f>_xlfn.XLOOKUP(B300,'May 2025'!B:B,'May 2025'!K:K)</f>
        <v>L-9</v>
      </c>
    </row>
    <row r="301" spans="1:11" x14ac:dyDescent="0.3">
      <c r="A301" s="1">
        <v>300</v>
      </c>
      <c r="B301" s="1">
        <v>98</v>
      </c>
      <c r="C301" s="5" t="s">
        <v>328</v>
      </c>
      <c r="D301" s="1" t="s">
        <v>564</v>
      </c>
      <c r="E301" s="8" t="s">
        <v>67</v>
      </c>
      <c r="F301" s="5" t="str">
        <f>_xlfn.XLOOKUP(B301,'May 2025'!B:B,'June 2025'!F:F)</f>
        <v>Manufacturing</v>
      </c>
      <c r="G301" s="1">
        <v>30000</v>
      </c>
      <c r="H301" s="1">
        <v>30000</v>
      </c>
      <c r="I301" s="1">
        <v>0</v>
      </c>
      <c r="J301" s="1">
        <v>0</v>
      </c>
      <c r="K301" s="8" t="str">
        <f>_xlfn.XLOOKUP(B301,'May 2025'!B:B,'May 2025'!K:K)</f>
        <v>L-9</v>
      </c>
    </row>
    <row r="302" spans="1:11" x14ac:dyDescent="0.3">
      <c r="A302" s="1">
        <v>301</v>
      </c>
      <c r="B302" s="1">
        <v>99</v>
      </c>
      <c r="C302" s="5" t="s">
        <v>329</v>
      </c>
      <c r="D302" s="1" t="s">
        <v>564</v>
      </c>
      <c r="E302" s="8" t="s">
        <v>67</v>
      </c>
      <c r="F302" s="5" t="str">
        <f>_xlfn.XLOOKUP(B302,'May 2025'!B:B,'June 2025'!F:F)</f>
        <v>Manufacturing</v>
      </c>
      <c r="G302" s="1">
        <v>30000</v>
      </c>
      <c r="H302" s="1">
        <v>30000</v>
      </c>
      <c r="I302" s="1">
        <v>0</v>
      </c>
      <c r="J302" s="1">
        <v>0</v>
      </c>
      <c r="K302" s="8" t="str">
        <f>_xlfn.XLOOKUP(B302,'May 2025'!B:B,'May 2025'!K:K)</f>
        <v>L-9</v>
      </c>
    </row>
    <row r="303" spans="1:11" x14ac:dyDescent="0.3">
      <c r="A303" s="1">
        <v>302</v>
      </c>
      <c r="B303" s="1">
        <v>10167</v>
      </c>
      <c r="C303" s="5" t="s">
        <v>330</v>
      </c>
      <c r="D303" s="1" t="s">
        <v>565</v>
      </c>
      <c r="E303" s="8" t="s">
        <v>331</v>
      </c>
      <c r="F303" s="5" t="str">
        <f>_xlfn.XLOOKUP(B303,'May 2025'!B:B,'June 2025'!F:F)</f>
        <v>Manufacturing</v>
      </c>
      <c r="G303" s="1">
        <v>16000</v>
      </c>
      <c r="H303" s="1">
        <v>16000</v>
      </c>
      <c r="I303" s="1">
        <v>0</v>
      </c>
      <c r="J303" s="1">
        <v>0</v>
      </c>
      <c r="K303" s="8" t="str">
        <f>_xlfn.XLOOKUP(B303,'May 2025'!B:B,'May 2025'!K:K)</f>
        <v>L-9</v>
      </c>
    </row>
    <row r="304" spans="1:11" x14ac:dyDescent="0.3">
      <c r="A304" s="1">
        <v>303</v>
      </c>
      <c r="B304" s="1">
        <v>10168</v>
      </c>
      <c r="C304" s="5" t="s">
        <v>332</v>
      </c>
      <c r="D304" s="1" t="s">
        <v>565</v>
      </c>
      <c r="E304" s="8" t="s">
        <v>10</v>
      </c>
      <c r="F304" s="5" t="str">
        <f>_xlfn.XLOOKUP(B304,'May 2025'!B:B,'June 2025'!F:F)</f>
        <v>Manufacturing</v>
      </c>
      <c r="G304" s="1">
        <v>25000</v>
      </c>
      <c r="H304" s="1">
        <v>25000</v>
      </c>
      <c r="I304" s="1">
        <v>0</v>
      </c>
      <c r="J304" s="1">
        <v>0</v>
      </c>
      <c r="K304" s="8" t="str">
        <f>_xlfn.XLOOKUP(B304,'May 2025'!B:B,'May 2025'!K:K)</f>
        <v>L-8</v>
      </c>
    </row>
    <row r="305" spans="1:11" x14ac:dyDescent="0.3">
      <c r="A305" s="1">
        <v>304</v>
      </c>
      <c r="B305" s="1">
        <v>10169</v>
      </c>
      <c r="C305" s="5" t="s">
        <v>333</v>
      </c>
      <c r="D305" s="1" t="s">
        <v>565</v>
      </c>
      <c r="E305" s="8" t="s">
        <v>35</v>
      </c>
      <c r="F305" s="5" t="s">
        <v>501</v>
      </c>
      <c r="G305" s="1">
        <v>12000</v>
      </c>
      <c r="H305" s="1">
        <v>12000</v>
      </c>
      <c r="I305" s="1">
        <v>0</v>
      </c>
      <c r="J305" s="1">
        <v>0</v>
      </c>
      <c r="K305" s="8" t="s">
        <v>556</v>
      </c>
    </row>
    <row r="306" spans="1:11" x14ac:dyDescent="0.3">
      <c r="A306" s="1">
        <v>305</v>
      </c>
      <c r="B306" s="1">
        <v>100</v>
      </c>
      <c r="C306" s="5" t="s">
        <v>334</v>
      </c>
      <c r="D306" s="1" t="s">
        <v>564</v>
      </c>
      <c r="E306" s="8" t="s">
        <v>558</v>
      </c>
      <c r="F306" s="5" t="str">
        <f>_xlfn.XLOOKUP(B306,'May 2025'!B:B,'June 2025'!F:F)</f>
        <v>Domestic</v>
      </c>
      <c r="G306" s="1">
        <v>42095</v>
      </c>
      <c r="H306" s="1">
        <v>40295</v>
      </c>
      <c r="I306" s="1">
        <v>1950</v>
      </c>
      <c r="J306" s="1">
        <v>0</v>
      </c>
      <c r="K306" s="8" t="str">
        <f>_xlfn.XLOOKUP(B306,'May 2025'!B:B,'May 2025'!K:K)</f>
        <v>L-5</v>
      </c>
    </row>
    <row r="307" spans="1:11" x14ac:dyDescent="0.3">
      <c r="A307" s="1">
        <v>306</v>
      </c>
      <c r="B307" s="1">
        <v>101</v>
      </c>
      <c r="C307" s="5" t="s">
        <v>27</v>
      </c>
      <c r="D307" s="1" t="s">
        <v>564</v>
      </c>
      <c r="E307" s="8" t="s">
        <v>10</v>
      </c>
      <c r="F307" s="5" t="str">
        <f>_xlfn.XLOOKUP(B307,'May 2025'!B:B,'June 2025'!F:F)</f>
        <v>Manufacturing</v>
      </c>
      <c r="G307" s="1">
        <v>13500</v>
      </c>
      <c r="H307" s="1">
        <v>13398</v>
      </c>
      <c r="I307" s="1">
        <v>0</v>
      </c>
      <c r="J307" s="1">
        <v>439</v>
      </c>
      <c r="K307" s="8" t="str">
        <f>_xlfn.XLOOKUP(B307,'May 2025'!B:B,'May 2025'!K:K)</f>
        <v>L-7</v>
      </c>
    </row>
    <row r="308" spans="1:11" x14ac:dyDescent="0.3">
      <c r="A308" s="1">
        <v>307</v>
      </c>
      <c r="B308" s="1">
        <v>10170</v>
      </c>
      <c r="C308" s="5" t="s">
        <v>335</v>
      </c>
      <c r="D308" s="1" t="s">
        <v>565</v>
      </c>
      <c r="E308" s="8" t="s">
        <v>53</v>
      </c>
      <c r="F308" s="5" t="str">
        <f>_xlfn.XLOOKUP(B308,'May 2025'!B:B,'June 2025'!F:F)</f>
        <v>Manufacturing</v>
      </c>
      <c r="G308" s="1">
        <v>14000</v>
      </c>
      <c r="H308" s="1">
        <v>14000</v>
      </c>
      <c r="I308" s="1">
        <v>0</v>
      </c>
      <c r="J308" s="1">
        <v>0</v>
      </c>
      <c r="K308" s="8" t="str">
        <f>_xlfn.XLOOKUP(B308,'May 2025'!B:B,'May 2025'!K:K)</f>
        <v>L-9</v>
      </c>
    </row>
    <row r="309" spans="1:11" x14ac:dyDescent="0.3">
      <c r="A309" s="1">
        <v>308</v>
      </c>
      <c r="B309" s="1">
        <v>10171</v>
      </c>
      <c r="C309" s="5" t="s">
        <v>336</v>
      </c>
      <c r="D309" s="1" t="s">
        <v>565</v>
      </c>
      <c r="E309" s="8" t="s">
        <v>10</v>
      </c>
      <c r="F309" s="5" t="str">
        <f>_xlfn.XLOOKUP(B309,'May 2025'!B:B,'June 2025'!F:F)</f>
        <v>Domestic</v>
      </c>
      <c r="G309" s="1">
        <v>19500</v>
      </c>
      <c r="H309" s="1">
        <v>19500</v>
      </c>
      <c r="I309" s="1">
        <v>0</v>
      </c>
      <c r="J309" s="1">
        <v>0</v>
      </c>
      <c r="K309" s="8" t="str">
        <f>_xlfn.XLOOKUP(B309,'May 2025'!B:B,'May 2025'!K:K)</f>
        <v>L-8</v>
      </c>
    </row>
    <row r="310" spans="1:11" x14ac:dyDescent="0.3">
      <c r="A310" s="1">
        <v>309</v>
      </c>
      <c r="B310" s="1">
        <v>10172</v>
      </c>
      <c r="C310" s="5" t="s">
        <v>337</v>
      </c>
      <c r="D310" s="1" t="s">
        <v>565</v>
      </c>
      <c r="E310" s="8" t="s">
        <v>35</v>
      </c>
      <c r="F310" s="5" t="str">
        <f>_xlfn.XLOOKUP(B310,'May 2025'!B:B,'June 2025'!F:F)</f>
        <v>Manufacturing</v>
      </c>
      <c r="G310" s="1">
        <v>12500</v>
      </c>
      <c r="H310" s="1">
        <v>12500</v>
      </c>
      <c r="I310" s="1">
        <v>0</v>
      </c>
      <c r="J310" s="1">
        <v>0</v>
      </c>
      <c r="K310" s="8" t="str">
        <f>_xlfn.XLOOKUP(B310,'May 2025'!B:B,'May 2025'!K:K)</f>
        <v>L-9</v>
      </c>
    </row>
    <row r="311" spans="1:11" x14ac:dyDescent="0.3">
      <c r="A311" s="1">
        <v>310</v>
      </c>
      <c r="B311" s="1">
        <v>10173</v>
      </c>
      <c r="C311" s="5" t="s">
        <v>338</v>
      </c>
      <c r="D311" s="1" t="s">
        <v>565</v>
      </c>
      <c r="E311" s="8" t="s">
        <v>53</v>
      </c>
      <c r="F311" s="5" t="str">
        <f>_xlfn.XLOOKUP(B311,'May 2025'!B:B,'June 2025'!F:F)</f>
        <v>Domestic</v>
      </c>
      <c r="G311" s="1">
        <v>14000</v>
      </c>
      <c r="H311" s="1">
        <v>14000</v>
      </c>
      <c r="I311" s="1">
        <v>0</v>
      </c>
      <c r="J311" s="1">
        <v>0</v>
      </c>
      <c r="K311" s="8" t="str">
        <f>_xlfn.XLOOKUP(B311,'May 2025'!B:B,'May 2025'!K:K)</f>
        <v>L-10</v>
      </c>
    </row>
    <row r="312" spans="1:11" x14ac:dyDescent="0.3">
      <c r="A312" s="1">
        <v>311</v>
      </c>
      <c r="B312" s="1">
        <v>10174</v>
      </c>
      <c r="C312" s="5" t="s">
        <v>339</v>
      </c>
      <c r="D312" s="1" t="s">
        <v>565</v>
      </c>
      <c r="E312" s="8" t="s">
        <v>61</v>
      </c>
      <c r="F312" s="5" t="s">
        <v>501</v>
      </c>
      <c r="G312" s="1">
        <v>12000</v>
      </c>
      <c r="H312" s="1">
        <v>12000</v>
      </c>
      <c r="I312" s="1">
        <v>0</v>
      </c>
      <c r="J312" s="1">
        <v>0</v>
      </c>
      <c r="K312" s="8" t="s">
        <v>556</v>
      </c>
    </row>
    <row r="313" spans="1:11" x14ac:dyDescent="0.3">
      <c r="A313" s="1">
        <v>312</v>
      </c>
      <c r="B313" s="1">
        <v>10175</v>
      </c>
      <c r="C313" s="5" t="s">
        <v>340</v>
      </c>
      <c r="D313" s="1" t="s">
        <v>565</v>
      </c>
      <c r="E313" s="8" t="s">
        <v>55</v>
      </c>
      <c r="F313" s="5" t="str">
        <f>_xlfn.XLOOKUP(B313,'May 2025'!B:B,'June 2025'!F:F)</f>
        <v>Domestic</v>
      </c>
      <c r="G313" s="1">
        <v>12500</v>
      </c>
      <c r="H313" s="1">
        <v>12500</v>
      </c>
      <c r="I313" s="1">
        <v>0</v>
      </c>
      <c r="J313" s="1">
        <v>0</v>
      </c>
      <c r="K313" s="8" t="str">
        <f>_xlfn.XLOOKUP(B313,'May 2025'!B:B,'May 2025'!K:K)</f>
        <v>L-7</v>
      </c>
    </row>
    <row r="314" spans="1:11" x14ac:dyDescent="0.3">
      <c r="A314" s="1">
        <v>313</v>
      </c>
      <c r="B314" s="1">
        <v>10176</v>
      </c>
      <c r="C314" s="5" t="s">
        <v>341</v>
      </c>
      <c r="D314" s="1" t="s">
        <v>565</v>
      </c>
      <c r="E314" s="8" t="s">
        <v>53</v>
      </c>
      <c r="F314" s="5" t="str">
        <f>_xlfn.XLOOKUP(B314,'May 2025'!B:B,'June 2025'!F:F)</f>
        <v>Manufacturing</v>
      </c>
      <c r="G314" s="1">
        <v>11000</v>
      </c>
      <c r="H314" s="1">
        <v>11000</v>
      </c>
      <c r="I314" s="1">
        <v>0</v>
      </c>
      <c r="J314" s="1">
        <v>0</v>
      </c>
      <c r="K314" s="8" t="str">
        <f>_xlfn.XLOOKUP(B314,'May 2025'!B:B,'May 2025'!K:K)</f>
        <v>L-10</v>
      </c>
    </row>
    <row r="315" spans="1:11" x14ac:dyDescent="0.3">
      <c r="A315" s="1">
        <v>314</v>
      </c>
      <c r="B315" s="1">
        <v>10177</v>
      </c>
      <c r="C315" s="5" t="s">
        <v>342</v>
      </c>
      <c r="D315" s="1" t="s">
        <v>565</v>
      </c>
      <c r="E315" s="8" t="s">
        <v>61</v>
      </c>
      <c r="F315" s="5" t="str">
        <f>_xlfn.XLOOKUP(B315,'May 2025'!B:B,'June 2025'!F:F)</f>
        <v>Manufacturing</v>
      </c>
      <c r="G315" s="1">
        <v>12500</v>
      </c>
      <c r="H315" s="1">
        <v>12500</v>
      </c>
      <c r="I315" s="1">
        <v>0</v>
      </c>
      <c r="J315" s="1">
        <v>0</v>
      </c>
      <c r="K315" s="8" t="str">
        <f>_xlfn.XLOOKUP(B315,'May 2025'!B:B,'May 2025'!K:K)</f>
        <v>L-9</v>
      </c>
    </row>
    <row r="316" spans="1:11" x14ac:dyDescent="0.3">
      <c r="A316" s="1">
        <v>315</v>
      </c>
      <c r="B316" s="1">
        <v>10178</v>
      </c>
      <c r="C316" s="5" t="s">
        <v>343</v>
      </c>
      <c r="D316" s="1" t="s">
        <v>565</v>
      </c>
      <c r="E316" s="8" t="s">
        <v>61</v>
      </c>
      <c r="F316" s="5" t="str">
        <f>_xlfn.XLOOKUP(B316,'May 2025'!B:B,'June 2025'!F:F)</f>
        <v>Manufacturing</v>
      </c>
      <c r="G316" s="1">
        <v>12500</v>
      </c>
      <c r="H316" s="1">
        <v>12500</v>
      </c>
      <c r="I316" s="1">
        <v>0</v>
      </c>
      <c r="J316" s="1">
        <v>0</v>
      </c>
      <c r="K316" s="8" t="str">
        <f>_xlfn.XLOOKUP(B316,'May 2025'!B:B,'May 2025'!K:K)</f>
        <v>L-9</v>
      </c>
    </row>
    <row r="317" spans="1:11" x14ac:dyDescent="0.3">
      <c r="A317" s="1">
        <v>316</v>
      </c>
      <c r="B317" s="1">
        <v>10179</v>
      </c>
      <c r="C317" s="5" t="s">
        <v>344</v>
      </c>
      <c r="D317" s="1" t="s">
        <v>565</v>
      </c>
      <c r="E317" s="8" t="s">
        <v>10</v>
      </c>
      <c r="F317" s="5" t="str">
        <f>_xlfn.XLOOKUP(B317,'May 2025'!B:B,'June 2025'!F:F)</f>
        <v>Manufacturing</v>
      </c>
      <c r="G317" s="1">
        <v>14000</v>
      </c>
      <c r="H317" s="1">
        <v>14000</v>
      </c>
      <c r="I317" s="1">
        <v>0</v>
      </c>
      <c r="J317" s="1">
        <v>0</v>
      </c>
      <c r="K317" s="8" t="str">
        <f>_xlfn.XLOOKUP(B317,'May 2025'!B:B,'May 2025'!K:K)</f>
        <v>L-8</v>
      </c>
    </row>
    <row r="318" spans="1:11" x14ac:dyDescent="0.3">
      <c r="A318" s="1">
        <v>317</v>
      </c>
      <c r="B318" s="1">
        <v>10180</v>
      </c>
      <c r="C318" s="5" t="s">
        <v>345</v>
      </c>
      <c r="D318" s="1" t="s">
        <v>565</v>
      </c>
      <c r="E318" s="8" t="s">
        <v>53</v>
      </c>
      <c r="F318" s="5" t="str">
        <f>_xlfn.XLOOKUP(B318,'May 2025'!B:B,'June 2025'!F:F)</f>
        <v>Domestic</v>
      </c>
      <c r="G318" s="1">
        <v>14000</v>
      </c>
      <c r="H318" s="1">
        <v>14000</v>
      </c>
      <c r="I318" s="1">
        <v>0</v>
      </c>
      <c r="J318" s="1">
        <v>0</v>
      </c>
      <c r="K318" s="8" t="str">
        <f>_xlfn.XLOOKUP(B318,'May 2025'!B:B,'May 2025'!K:K)</f>
        <v>L-10</v>
      </c>
    </row>
    <row r="319" spans="1:11" x14ac:dyDescent="0.3">
      <c r="A319" s="1">
        <v>318</v>
      </c>
      <c r="B319" s="1">
        <v>10181</v>
      </c>
      <c r="C319" s="5" t="s">
        <v>127</v>
      </c>
      <c r="D319" s="1" t="s">
        <v>565</v>
      </c>
      <c r="E319" s="8" t="s">
        <v>346</v>
      </c>
      <c r="F319" s="5" t="str">
        <f>_xlfn.XLOOKUP(B319,'May 2025'!B:B,'June 2025'!F:F)</f>
        <v>Manufacturing</v>
      </c>
      <c r="G319" s="1">
        <v>12500</v>
      </c>
      <c r="H319" s="1">
        <v>12500</v>
      </c>
      <c r="I319" s="1">
        <v>0</v>
      </c>
      <c r="J319" s="1">
        <v>0</v>
      </c>
      <c r="K319" s="8" t="str">
        <f>_xlfn.XLOOKUP(B319,'May 2025'!B:B,'May 2025'!K:K)</f>
        <v>L-10</v>
      </c>
    </row>
    <row r="320" spans="1:11" x14ac:dyDescent="0.3">
      <c r="A320" s="1">
        <v>319</v>
      </c>
      <c r="B320" s="1">
        <v>103</v>
      </c>
      <c r="C320" s="5" t="s">
        <v>347</v>
      </c>
      <c r="D320" s="1" t="s">
        <v>564</v>
      </c>
      <c r="E320" s="8" t="s">
        <v>67</v>
      </c>
      <c r="F320" s="5" t="str">
        <f>_xlfn.XLOOKUP(B320,'May 2025'!B:B,'June 2025'!F:F)</f>
        <v>Manufacturing</v>
      </c>
      <c r="G320" s="1">
        <v>30000</v>
      </c>
      <c r="H320" s="1">
        <v>30000</v>
      </c>
      <c r="I320" s="1">
        <v>0</v>
      </c>
      <c r="J320" s="1">
        <v>0</v>
      </c>
      <c r="K320" s="8" t="str">
        <f>_xlfn.XLOOKUP(B320,'May 2025'!B:B,'May 2025'!K:K)</f>
        <v>L-9</v>
      </c>
    </row>
    <row r="321" spans="1:11" x14ac:dyDescent="0.3">
      <c r="A321" s="1">
        <v>320</v>
      </c>
      <c r="B321" s="1">
        <v>104</v>
      </c>
      <c r="C321" s="5" t="s">
        <v>348</v>
      </c>
      <c r="D321" s="1" t="s">
        <v>564</v>
      </c>
      <c r="E321" s="8" t="s">
        <v>67</v>
      </c>
      <c r="F321" s="5" t="str">
        <f>_xlfn.XLOOKUP(B321,'May 2025'!B:B,'June 2025'!F:F)</f>
        <v>Domestic</v>
      </c>
      <c r="G321" s="1">
        <v>30000</v>
      </c>
      <c r="H321" s="1">
        <v>30000</v>
      </c>
      <c r="I321" s="1">
        <v>0</v>
      </c>
      <c r="J321" s="1">
        <v>0</v>
      </c>
      <c r="K321" s="8" t="str">
        <f>_xlfn.XLOOKUP(B321,'May 2025'!B:B,'May 2025'!K:K)</f>
        <v>L-5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51FFC78-570D-4C62-A014-54800651129A}">
          <x14:formula1>
            <xm:f>'Data Validation'!$K$1:$K$11</xm:f>
          </x14:formula1>
          <xm:sqref>K1:K321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4892C-9219-4150-8E31-C01DD96BEDC5}">
  <dimension ref="A1:K209"/>
  <sheetViews>
    <sheetView zoomScale="61" workbookViewId="0">
      <selection activeCell="J25" sqref="J25"/>
    </sheetView>
  </sheetViews>
  <sheetFormatPr defaultRowHeight="14.4" x14ac:dyDescent="0.3"/>
  <cols>
    <col min="1" max="3" width="23.6640625" customWidth="1"/>
    <col min="5" max="5" width="23.6640625" customWidth="1"/>
    <col min="6" max="6" width="13.44140625" bestFit="1" customWidth="1"/>
    <col min="7" max="7" width="23.6640625" customWidth="1"/>
    <col min="8" max="8" width="11.21875" bestFit="1" customWidth="1"/>
    <col min="9" max="9" width="10.77734375" bestFit="1" customWidth="1"/>
    <col min="10" max="10" width="11.109375" bestFit="1" customWidth="1"/>
    <col min="11" max="11" width="8.7773437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10" t="s">
        <v>569</v>
      </c>
      <c r="E1" s="2" t="s">
        <v>4</v>
      </c>
      <c r="F1" s="2" t="s">
        <v>3</v>
      </c>
      <c r="G1" s="2" t="s">
        <v>5</v>
      </c>
      <c r="H1" s="2" t="s">
        <v>6</v>
      </c>
      <c r="I1" s="2" t="s">
        <v>562</v>
      </c>
      <c r="J1" s="2" t="s">
        <v>563</v>
      </c>
      <c r="K1" s="2" t="s">
        <v>559</v>
      </c>
    </row>
    <row r="2" spans="1:11" x14ac:dyDescent="0.3">
      <c r="A2" s="1">
        <v>1</v>
      </c>
      <c r="B2" s="1">
        <v>1</v>
      </c>
      <c r="C2" s="1" t="s">
        <v>7</v>
      </c>
      <c r="D2" s="1" t="s">
        <v>564</v>
      </c>
      <c r="E2" s="1" t="s">
        <v>8</v>
      </c>
      <c r="F2" s="1" t="str">
        <f>_xlfn.XLOOKUP(B2,'June 2025'!B:B,'June 2025'!F:F)</f>
        <v>Manufacturing</v>
      </c>
      <c r="G2" s="1">
        <v>11000</v>
      </c>
      <c r="H2" s="1">
        <v>11000</v>
      </c>
      <c r="I2" s="1">
        <v>858</v>
      </c>
      <c r="J2" s="1">
        <v>358</v>
      </c>
      <c r="K2" s="1" t="s">
        <v>556</v>
      </c>
    </row>
    <row r="3" spans="1:11" x14ac:dyDescent="0.3">
      <c r="A3" s="1">
        <v>2</v>
      </c>
      <c r="B3" s="1">
        <v>2</v>
      </c>
      <c r="C3" s="1" t="s">
        <v>9</v>
      </c>
      <c r="D3" s="1" t="s">
        <v>564</v>
      </c>
      <c r="E3" s="1" t="s">
        <v>10</v>
      </c>
      <c r="F3" s="1" t="str">
        <f>_xlfn.XLOOKUP(B3,'June 2025'!B:B,'June 2025'!F:F)</f>
        <v>Domestic</v>
      </c>
      <c r="G3" s="1">
        <v>20500</v>
      </c>
      <c r="H3" s="1">
        <v>16202</v>
      </c>
      <c r="I3" s="1">
        <v>1264</v>
      </c>
      <c r="J3" s="1">
        <v>527</v>
      </c>
      <c r="K3" s="1" t="str">
        <f>_xlfn.XLOOKUP(B3,'June 2025'!B:B,'June 2025'!K:K)</f>
        <v>L-8</v>
      </c>
    </row>
    <row r="4" spans="1:11" x14ac:dyDescent="0.3">
      <c r="A4" s="1">
        <v>3</v>
      </c>
      <c r="B4" s="1">
        <v>3</v>
      </c>
      <c r="C4" s="1" t="s">
        <v>11</v>
      </c>
      <c r="D4" s="1" t="s">
        <v>564</v>
      </c>
      <c r="E4" s="1" t="s">
        <v>12</v>
      </c>
      <c r="F4" s="1" t="str">
        <f>_xlfn.XLOOKUP(B4,'June 2025'!B:B,'June 2025'!F:F)</f>
        <v>Manufacturing</v>
      </c>
      <c r="G4" s="1">
        <v>27500</v>
      </c>
      <c r="H4" s="1">
        <v>25726</v>
      </c>
      <c r="I4" s="1">
        <v>0</v>
      </c>
      <c r="J4" s="1">
        <v>0</v>
      </c>
      <c r="K4" s="1" t="str">
        <f>_xlfn.XLOOKUP(B4,'June 2025'!B:B,'June 2025'!K:K)</f>
        <v>L-9</v>
      </c>
    </row>
    <row r="5" spans="1:11" x14ac:dyDescent="0.3">
      <c r="A5" s="1">
        <v>4</v>
      </c>
      <c r="B5" s="1">
        <v>4</v>
      </c>
      <c r="C5" s="1" t="s">
        <v>13</v>
      </c>
      <c r="D5" s="1" t="s">
        <v>564</v>
      </c>
      <c r="E5" s="1" t="s">
        <v>10</v>
      </c>
      <c r="F5" s="1" t="str">
        <f>_xlfn.XLOOKUP(B5,'June 2025'!B:B,'June 2025'!F:F)</f>
        <v>Domestic</v>
      </c>
      <c r="G5" s="1">
        <v>25781</v>
      </c>
      <c r="H5" s="1">
        <v>25781</v>
      </c>
      <c r="I5" s="1">
        <v>1950</v>
      </c>
      <c r="J5" s="1">
        <v>0</v>
      </c>
      <c r="K5" s="1" t="str">
        <f>_xlfn.XLOOKUP(B5,'June 2025'!B:B,'June 2025'!K:K)</f>
        <v>L-6</v>
      </c>
    </row>
    <row r="6" spans="1:11" x14ac:dyDescent="0.3">
      <c r="A6" s="1">
        <v>5</v>
      </c>
      <c r="B6" s="1">
        <v>5</v>
      </c>
      <c r="C6" s="1" t="s">
        <v>15</v>
      </c>
      <c r="D6" s="1" t="s">
        <v>564</v>
      </c>
      <c r="E6" s="1" t="s">
        <v>10</v>
      </c>
      <c r="F6" s="1" t="str">
        <f>_xlfn.XLOOKUP(B6,'June 2025'!B:B,'June 2025'!F:F)</f>
        <v>Domestic</v>
      </c>
      <c r="G6" s="1">
        <v>41950</v>
      </c>
      <c r="H6" s="1">
        <v>41950</v>
      </c>
      <c r="I6" s="1">
        <v>1950</v>
      </c>
      <c r="J6" s="1">
        <v>0</v>
      </c>
      <c r="K6" s="1" t="str">
        <f>_xlfn.XLOOKUP(B6,'June 2025'!B:B,'June 2025'!K:K)</f>
        <v>L-6</v>
      </c>
    </row>
    <row r="7" spans="1:11" x14ac:dyDescent="0.3">
      <c r="A7" s="1">
        <v>6</v>
      </c>
      <c r="B7" s="1">
        <v>6</v>
      </c>
      <c r="C7" s="1" t="s">
        <v>16</v>
      </c>
      <c r="D7" s="1" t="s">
        <v>564</v>
      </c>
      <c r="E7" s="1" t="s">
        <v>17</v>
      </c>
      <c r="F7" s="1" t="str">
        <f>_xlfn.XLOOKUP(B7,'June 2025'!B:B,'June 2025'!F:F)</f>
        <v xml:space="preserve">Admin </v>
      </c>
      <c r="G7" s="1">
        <v>62500</v>
      </c>
      <c r="H7" s="1">
        <v>62500</v>
      </c>
      <c r="I7" s="1">
        <v>0</v>
      </c>
      <c r="J7" s="1">
        <v>0</v>
      </c>
      <c r="K7" s="1" t="str">
        <f>_xlfn.XLOOKUP(B7,'June 2025'!B:B,'June 2025'!K:K)</f>
        <v>L-5</v>
      </c>
    </row>
    <row r="8" spans="1:11" x14ac:dyDescent="0.3">
      <c r="A8" s="1">
        <v>7</v>
      </c>
      <c r="B8" s="1">
        <v>7</v>
      </c>
      <c r="C8" s="1" t="s">
        <v>18</v>
      </c>
      <c r="D8" s="1" t="s">
        <v>564</v>
      </c>
      <c r="E8" s="1" t="s">
        <v>19</v>
      </c>
      <c r="F8" s="1" t="str">
        <f>_xlfn.XLOOKUP(B8,'June 2025'!B:B,'June 2025'!F:F)</f>
        <v xml:space="preserve">Admin </v>
      </c>
      <c r="G8" s="1">
        <v>48000</v>
      </c>
      <c r="H8" s="1">
        <v>48000</v>
      </c>
      <c r="I8" s="1">
        <v>0</v>
      </c>
      <c r="J8" s="1">
        <v>0</v>
      </c>
      <c r="K8" s="1" t="str">
        <f>_xlfn.XLOOKUP(B8,'June 2025'!B:B,'June 2025'!K:K)</f>
        <v>L-5</v>
      </c>
    </row>
    <row r="9" spans="1:11" x14ac:dyDescent="0.3">
      <c r="A9" s="1">
        <v>8</v>
      </c>
      <c r="B9" s="1">
        <v>9</v>
      </c>
      <c r="C9" s="1" t="s">
        <v>22</v>
      </c>
      <c r="D9" s="1" t="s">
        <v>564</v>
      </c>
      <c r="E9" s="1" t="s">
        <v>23</v>
      </c>
      <c r="F9" s="1" t="str">
        <f>_xlfn.XLOOKUP(B9,'June 2025'!B:B,'June 2025'!F:F)</f>
        <v>Domestic</v>
      </c>
      <c r="G9" s="1">
        <v>14800</v>
      </c>
      <c r="H9" s="1">
        <v>14323</v>
      </c>
      <c r="I9" s="1">
        <v>1127</v>
      </c>
      <c r="J9" s="1">
        <v>466</v>
      </c>
      <c r="K9" s="1" t="str">
        <f>_xlfn.XLOOKUP(B9,'June 2025'!B:B,'June 2025'!K:K)</f>
        <v>L-9</v>
      </c>
    </row>
    <row r="10" spans="1:11" x14ac:dyDescent="0.3">
      <c r="A10" s="1">
        <v>9</v>
      </c>
      <c r="B10" s="1">
        <v>11</v>
      </c>
      <c r="C10" s="1" t="s">
        <v>25</v>
      </c>
      <c r="D10" s="1" t="s">
        <v>564</v>
      </c>
      <c r="E10" s="1" t="s">
        <v>26</v>
      </c>
      <c r="F10" s="1" t="str">
        <f>_xlfn.XLOOKUP(B10,'June 2025'!B:B,'June 2025'!F:F)</f>
        <v xml:space="preserve">Admin </v>
      </c>
      <c r="G10" s="1">
        <v>22000</v>
      </c>
      <c r="H10" s="1">
        <v>19161</v>
      </c>
      <c r="I10" s="1">
        <v>1744</v>
      </c>
      <c r="J10" s="1">
        <v>0</v>
      </c>
      <c r="K10" s="1" t="str">
        <f>_xlfn.XLOOKUP(B10,'June 2025'!B:B,'June 2025'!K:K)</f>
        <v>L-6</v>
      </c>
    </row>
    <row r="11" spans="1:11" x14ac:dyDescent="0.3">
      <c r="A11" s="1">
        <v>10</v>
      </c>
      <c r="B11" s="1">
        <v>13</v>
      </c>
      <c r="C11" s="1" t="s">
        <v>29</v>
      </c>
      <c r="D11" s="1" t="s">
        <v>564</v>
      </c>
      <c r="E11" s="1" t="s">
        <v>10</v>
      </c>
      <c r="F11" s="1" t="str">
        <f>_xlfn.XLOOKUP(B11,'June 2025'!B:B,'June 2025'!F:F)</f>
        <v>Domestic</v>
      </c>
      <c r="G11" s="1">
        <v>14500</v>
      </c>
      <c r="H11" s="1">
        <v>12629</v>
      </c>
      <c r="I11" s="1">
        <v>991</v>
      </c>
      <c r="J11" s="1">
        <v>411</v>
      </c>
      <c r="K11" s="1" t="str">
        <f>_xlfn.XLOOKUP(B11,'June 2025'!B:B,'June 2025'!K:K)</f>
        <v>L-7</v>
      </c>
    </row>
    <row r="12" spans="1:11" x14ac:dyDescent="0.3">
      <c r="A12" s="1">
        <v>11</v>
      </c>
      <c r="B12" s="1">
        <v>14</v>
      </c>
      <c r="C12" s="1" t="s">
        <v>30</v>
      </c>
      <c r="D12" s="1" t="s">
        <v>564</v>
      </c>
      <c r="E12" s="1" t="s">
        <v>31</v>
      </c>
      <c r="F12" s="1" t="str">
        <f>_xlfn.XLOOKUP(B12,'June 2025'!B:B,'June 2025'!F:F)</f>
        <v>Office Support</v>
      </c>
      <c r="G12" s="1">
        <v>15400</v>
      </c>
      <c r="H12" s="1">
        <v>15400</v>
      </c>
      <c r="I12" s="1">
        <v>1201</v>
      </c>
      <c r="J12" s="1">
        <v>501</v>
      </c>
      <c r="K12" s="1" t="str">
        <f>_xlfn.XLOOKUP(B12,'June 2025'!B:B,'June 2025'!K:K)</f>
        <v>L-10</v>
      </c>
    </row>
    <row r="13" spans="1:11" x14ac:dyDescent="0.3">
      <c r="A13" s="1">
        <v>12</v>
      </c>
      <c r="B13" s="1">
        <v>15</v>
      </c>
      <c r="C13" s="1" t="s">
        <v>32</v>
      </c>
      <c r="D13" s="1" t="s">
        <v>564</v>
      </c>
      <c r="E13" s="1" t="s">
        <v>33</v>
      </c>
      <c r="F13" s="1" t="str">
        <f>_xlfn.XLOOKUP(B13,'June 2025'!B:B,'June 2025'!F:F)</f>
        <v>Manufacturing</v>
      </c>
      <c r="G13" s="1">
        <v>20000</v>
      </c>
      <c r="H13" s="1">
        <v>18710</v>
      </c>
      <c r="I13" s="1">
        <v>1459</v>
      </c>
      <c r="J13" s="1">
        <v>609</v>
      </c>
      <c r="K13" s="1" t="str">
        <f>_xlfn.XLOOKUP(B13,'June 2025'!B:B,'June 2025'!K:K)</f>
        <v>L-9</v>
      </c>
    </row>
    <row r="14" spans="1:11" x14ac:dyDescent="0.3">
      <c r="A14" s="1">
        <v>13</v>
      </c>
      <c r="B14" s="1">
        <v>16</v>
      </c>
      <c r="C14" s="1" t="s">
        <v>34</v>
      </c>
      <c r="D14" s="1" t="s">
        <v>564</v>
      </c>
      <c r="E14" s="1" t="s">
        <v>35</v>
      </c>
      <c r="F14" s="1" t="str">
        <f>_xlfn.XLOOKUP(B14,'June 2025'!B:B,'June 2025'!F:F)</f>
        <v>Domestic</v>
      </c>
      <c r="G14" s="1">
        <v>14063</v>
      </c>
      <c r="H14" s="1">
        <v>6804</v>
      </c>
      <c r="I14" s="1">
        <v>619</v>
      </c>
      <c r="J14" s="1">
        <v>222</v>
      </c>
      <c r="K14" s="1" t="str">
        <f>_xlfn.XLOOKUP(B14,'June 2025'!B:B,'June 2025'!K:K)</f>
        <v>L-9</v>
      </c>
    </row>
    <row r="15" spans="1:11" x14ac:dyDescent="0.3">
      <c r="A15" s="1">
        <v>14</v>
      </c>
      <c r="B15" s="1">
        <v>17</v>
      </c>
      <c r="C15" s="1" t="s">
        <v>36</v>
      </c>
      <c r="D15" s="1" t="s">
        <v>564</v>
      </c>
      <c r="E15" s="1" t="s">
        <v>21</v>
      </c>
      <c r="F15" s="1" t="str">
        <f>_xlfn.XLOOKUP(B15,'June 2025'!B:B,'June 2025'!F:F)</f>
        <v>Manufacturing</v>
      </c>
      <c r="G15" s="1">
        <v>17500</v>
      </c>
      <c r="H15" s="1">
        <v>16653</v>
      </c>
      <c r="I15" s="1">
        <v>1299</v>
      </c>
      <c r="J15" s="1">
        <v>542</v>
      </c>
      <c r="K15" s="1" t="str">
        <f>_xlfn.XLOOKUP(B15,'June 2025'!B:B,'June 2025'!K:K)</f>
        <v>L-9</v>
      </c>
    </row>
    <row r="16" spans="1:11" x14ac:dyDescent="0.3">
      <c r="A16" s="1">
        <v>15</v>
      </c>
      <c r="B16" s="1">
        <v>19</v>
      </c>
      <c r="C16" s="1" t="s">
        <v>38</v>
      </c>
      <c r="D16" s="1" t="s">
        <v>564</v>
      </c>
      <c r="E16" s="1" t="s">
        <v>35</v>
      </c>
      <c r="F16" s="1" t="str">
        <f>_xlfn.XLOOKUP(B16,'June 2025'!B:B,'June 2025'!F:F)</f>
        <v>Manufacturing</v>
      </c>
      <c r="G16" s="1">
        <v>15300</v>
      </c>
      <c r="H16" s="1">
        <v>13573</v>
      </c>
      <c r="I16" s="1">
        <v>1059</v>
      </c>
      <c r="J16" s="1">
        <v>442</v>
      </c>
      <c r="K16" s="1" t="str">
        <f>_xlfn.XLOOKUP(B16,'June 2025'!B:B,'June 2025'!K:K)</f>
        <v>L-9</v>
      </c>
    </row>
    <row r="17" spans="1:11" x14ac:dyDescent="0.3">
      <c r="A17" s="1">
        <v>16</v>
      </c>
      <c r="B17" s="1">
        <v>20</v>
      </c>
      <c r="C17" s="1" t="s">
        <v>39</v>
      </c>
      <c r="D17" s="1" t="s">
        <v>564</v>
      </c>
      <c r="E17" s="1" t="s">
        <v>35</v>
      </c>
      <c r="F17" s="1" t="str">
        <f>_xlfn.XLOOKUP(B17,'June 2025'!B:B,'June 2025'!F:F)</f>
        <v>Manufacturing</v>
      </c>
      <c r="G17" s="1">
        <v>14500</v>
      </c>
      <c r="H17" s="1">
        <v>5613</v>
      </c>
      <c r="I17" s="1">
        <v>511</v>
      </c>
      <c r="J17" s="1">
        <v>183</v>
      </c>
      <c r="K17" s="1" t="str">
        <f>_xlfn.XLOOKUP(B17,'June 2025'!B:B,'June 2025'!K:K)</f>
        <v>L-9</v>
      </c>
    </row>
    <row r="18" spans="1:11" x14ac:dyDescent="0.3">
      <c r="A18" s="1">
        <v>17</v>
      </c>
      <c r="B18" s="1">
        <v>21</v>
      </c>
      <c r="C18" s="1" t="s">
        <v>40</v>
      </c>
      <c r="D18" s="1" t="s">
        <v>564</v>
      </c>
      <c r="E18" s="1" t="s">
        <v>41</v>
      </c>
      <c r="F18" s="1" t="str">
        <f>_xlfn.XLOOKUP(B18,'June 2025'!B:B,'June 2025'!F:F)</f>
        <v>Manufacturing</v>
      </c>
      <c r="G18" s="1">
        <v>22000</v>
      </c>
      <c r="H18" s="1">
        <v>20225</v>
      </c>
      <c r="I18" s="1">
        <v>1578</v>
      </c>
      <c r="J18" s="1">
        <v>0</v>
      </c>
      <c r="K18" s="1" t="str">
        <f>_xlfn.XLOOKUP(B18,'June 2025'!B:B,'June 2025'!K:K)</f>
        <v>L-8</v>
      </c>
    </row>
    <row r="19" spans="1:11" x14ac:dyDescent="0.3">
      <c r="A19" s="1">
        <v>18</v>
      </c>
      <c r="B19" s="1">
        <v>22</v>
      </c>
      <c r="C19" s="1" t="s">
        <v>282</v>
      </c>
      <c r="D19" s="1" t="s">
        <v>564</v>
      </c>
      <c r="E19" s="1" t="s">
        <v>42</v>
      </c>
      <c r="F19" s="1" t="str">
        <f>_xlfn.XLOOKUP(B19,'June 2025'!B:B,'June 2025'!F:F)</f>
        <v>Domestic</v>
      </c>
      <c r="G19" s="1">
        <v>68200</v>
      </c>
      <c r="H19" s="1">
        <v>68200</v>
      </c>
      <c r="I19" s="1">
        <v>1950</v>
      </c>
      <c r="J19" s="1">
        <v>0</v>
      </c>
      <c r="K19" s="1" t="str">
        <f>_xlfn.XLOOKUP(B19,'June 2025'!B:B,'June 2025'!K:K)</f>
        <v>L-5</v>
      </c>
    </row>
    <row r="20" spans="1:11" x14ac:dyDescent="0.3">
      <c r="A20" s="1">
        <v>19</v>
      </c>
      <c r="B20" s="1">
        <v>24</v>
      </c>
      <c r="C20" s="1" t="s">
        <v>44</v>
      </c>
      <c r="D20" s="1" t="s">
        <v>564</v>
      </c>
      <c r="E20" s="1" t="s">
        <v>10</v>
      </c>
      <c r="F20" s="1" t="str">
        <f>_xlfn.XLOOKUP(B20,'June 2025'!B:B,'June 2025'!F:F)</f>
        <v>Domestic</v>
      </c>
      <c r="G20" s="1">
        <v>15500</v>
      </c>
      <c r="H20" s="1">
        <v>9000</v>
      </c>
      <c r="I20" s="1">
        <v>831</v>
      </c>
      <c r="J20" s="1">
        <v>293</v>
      </c>
      <c r="K20" s="1" t="str">
        <f>_xlfn.XLOOKUP(B20,'June 2025'!B:B,'June 2025'!K:K)</f>
        <v>L-8</v>
      </c>
    </row>
    <row r="21" spans="1:11" x14ac:dyDescent="0.3">
      <c r="A21" s="1">
        <v>20</v>
      </c>
      <c r="B21" s="1">
        <v>27</v>
      </c>
      <c r="C21" s="1" t="s">
        <v>48</v>
      </c>
      <c r="D21" s="1" t="s">
        <v>564</v>
      </c>
      <c r="E21" s="1" t="s">
        <v>10</v>
      </c>
      <c r="F21" s="1" t="str">
        <f>_xlfn.XLOOKUP(B21,'June 2025'!B:B,'June 2025'!F:F)</f>
        <v>Domestic</v>
      </c>
      <c r="G21" s="1">
        <v>25988</v>
      </c>
      <c r="H21" s="1">
        <v>25988</v>
      </c>
      <c r="I21" s="1">
        <v>1950</v>
      </c>
      <c r="J21" s="1">
        <v>0</v>
      </c>
      <c r="K21" s="1" t="str">
        <f>_xlfn.XLOOKUP(B21,'June 2025'!B:B,'June 2025'!K:K)</f>
        <v>L-6</v>
      </c>
    </row>
    <row r="22" spans="1:11" x14ac:dyDescent="0.3">
      <c r="A22" s="1">
        <v>21</v>
      </c>
      <c r="B22" s="1">
        <v>29</v>
      </c>
      <c r="C22" s="1" t="s">
        <v>51</v>
      </c>
      <c r="D22" s="1" t="s">
        <v>564</v>
      </c>
      <c r="E22" s="1" t="s">
        <v>42</v>
      </c>
      <c r="F22" s="1" t="str">
        <f>_xlfn.XLOOKUP(B22,'June 2025'!B:B,'June 2025'!F:F)</f>
        <v>D2C</v>
      </c>
      <c r="G22" s="1">
        <v>79450</v>
      </c>
      <c r="H22" s="1">
        <v>79450</v>
      </c>
      <c r="I22" s="1">
        <v>1950</v>
      </c>
      <c r="J22" s="1">
        <v>0</v>
      </c>
      <c r="K22" s="1" t="str">
        <f>_xlfn.XLOOKUP(B22,'June 2025'!B:B,'June 2025'!K:K)</f>
        <v>L-5</v>
      </c>
    </row>
    <row r="23" spans="1:11" x14ac:dyDescent="0.3">
      <c r="A23" s="1">
        <v>22</v>
      </c>
      <c r="B23" s="1">
        <v>32</v>
      </c>
      <c r="C23" s="1" t="s">
        <v>56</v>
      </c>
      <c r="D23" s="1" t="s">
        <v>564</v>
      </c>
      <c r="E23" s="1" t="s">
        <v>41</v>
      </c>
      <c r="F23" s="1" t="str">
        <f>_xlfn.XLOOKUP(B23,'June 2025'!B:B,'June 2025'!F:F)</f>
        <v>Manufacturing</v>
      </c>
      <c r="G23" s="1">
        <v>25000</v>
      </c>
      <c r="H23" s="1">
        <v>22178</v>
      </c>
      <c r="I23" s="1">
        <v>0</v>
      </c>
      <c r="J23" s="1">
        <v>0</v>
      </c>
      <c r="K23" s="1" t="str">
        <f>_xlfn.XLOOKUP(B23,'June 2025'!B:B,'June 2025'!K:K)</f>
        <v>L-8</v>
      </c>
    </row>
    <row r="24" spans="1:11" x14ac:dyDescent="0.3">
      <c r="A24" s="1">
        <v>23</v>
      </c>
      <c r="B24" s="1">
        <v>33</v>
      </c>
      <c r="C24" s="1" t="s">
        <v>57</v>
      </c>
      <c r="D24" s="1" t="s">
        <v>564</v>
      </c>
      <c r="E24" s="1" t="s">
        <v>58</v>
      </c>
      <c r="F24" s="1" t="str">
        <f>_xlfn.XLOOKUP(B24,'June 2025'!B:B,'June 2025'!F:F)</f>
        <v>D2C</v>
      </c>
      <c r="G24" s="1">
        <v>37000</v>
      </c>
      <c r="H24" s="1">
        <v>32823</v>
      </c>
      <c r="I24" s="1">
        <v>0</v>
      </c>
      <c r="J24" s="1">
        <v>0</v>
      </c>
      <c r="K24" s="1" t="str">
        <f>_xlfn.XLOOKUP(B24,'June 2025'!B:B,'June 2025'!K:K)</f>
        <v>L-6</v>
      </c>
    </row>
    <row r="25" spans="1:11" x14ac:dyDescent="0.3">
      <c r="A25" s="1">
        <v>24</v>
      </c>
      <c r="B25" s="1">
        <v>37</v>
      </c>
      <c r="C25" s="1" t="s">
        <v>63</v>
      </c>
      <c r="D25" s="1" t="s">
        <v>564</v>
      </c>
      <c r="E25" s="1" t="s">
        <v>64</v>
      </c>
      <c r="F25" s="1" t="str">
        <f>_xlfn.XLOOKUP(B25,'June 2025'!B:B,'June 2025'!F:F)</f>
        <v>Overseas</v>
      </c>
      <c r="G25" s="1">
        <v>40000</v>
      </c>
      <c r="H25" s="1">
        <v>39355</v>
      </c>
      <c r="I25" s="1">
        <v>0</v>
      </c>
      <c r="J25" s="1">
        <v>0</v>
      </c>
      <c r="K25" s="1" t="str">
        <f>_xlfn.XLOOKUP(B25,'June 2025'!B:B,'June 2025'!K:K)</f>
        <v>L-6</v>
      </c>
    </row>
    <row r="26" spans="1:11" x14ac:dyDescent="0.3">
      <c r="A26" s="1">
        <v>25</v>
      </c>
      <c r="B26" s="1">
        <v>38</v>
      </c>
      <c r="C26" s="1" t="s">
        <v>65</v>
      </c>
      <c r="D26" s="1" t="s">
        <v>564</v>
      </c>
      <c r="E26" s="1" t="s">
        <v>558</v>
      </c>
      <c r="F26" s="1" t="str">
        <f>_xlfn.XLOOKUP(B26,'June 2025'!B:B,'June 2025'!F:F)</f>
        <v xml:space="preserve">Admin </v>
      </c>
      <c r="G26" s="1">
        <v>41000</v>
      </c>
      <c r="H26" s="1">
        <v>41000</v>
      </c>
      <c r="I26" s="1">
        <v>0</v>
      </c>
      <c r="J26" s="1">
        <v>0</v>
      </c>
      <c r="K26" s="1" t="str">
        <f>_xlfn.XLOOKUP(B26,'June 2025'!B:B,'June 2025'!K:K)</f>
        <v>L-5</v>
      </c>
    </row>
    <row r="27" spans="1:11" x14ac:dyDescent="0.3">
      <c r="A27" s="1">
        <v>26</v>
      </c>
      <c r="B27" s="1">
        <v>39</v>
      </c>
      <c r="C27" s="1" t="s">
        <v>66</v>
      </c>
      <c r="D27" s="1" t="s">
        <v>564</v>
      </c>
      <c r="E27" s="1" t="s">
        <v>67</v>
      </c>
      <c r="F27" s="1" t="str">
        <f>_xlfn.XLOOKUP(B27,'June 2025'!B:B,'June 2025'!F:F)</f>
        <v>Manufacturing</v>
      </c>
      <c r="G27" s="1">
        <v>30000</v>
      </c>
      <c r="H27" s="1">
        <v>20867</v>
      </c>
      <c r="I27" s="1">
        <v>0</v>
      </c>
      <c r="J27" s="1">
        <v>0</v>
      </c>
      <c r="K27" s="1" t="str">
        <f>_xlfn.XLOOKUP(B27,'June 2025'!B:B,'June 2025'!K:K)</f>
        <v>L-9</v>
      </c>
    </row>
    <row r="28" spans="1:11" x14ac:dyDescent="0.3">
      <c r="A28" s="1">
        <v>27</v>
      </c>
      <c r="B28" s="1">
        <v>40</v>
      </c>
      <c r="C28" s="1" t="s">
        <v>68</v>
      </c>
      <c r="D28" s="1" t="s">
        <v>564</v>
      </c>
      <c r="E28" s="1" t="s">
        <v>67</v>
      </c>
      <c r="F28" s="1" t="str">
        <f>_xlfn.XLOOKUP(B28,'June 2025'!B:B,'June 2025'!F:F)</f>
        <v>Manufacturing</v>
      </c>
      <c r="G28" s="1">
        <v>30000</v>
      </c>
      <c r="H28" s="1">
        <v>22997</v>
      </c>
      <c r="I28" s="1">
        <v>0</v>
      </c>
      <c r="J28" s="1">
        <v>0</v>
      </c>
      <c r="K28" s="1" t="str">
        <f>_xlfn.XLOOKUP(B28,'June 2025'!B:B,'June 2025'!K:K)</f>
        <v>L-9</v>
      </c>
    </row>
    <row r="29" spans="1:11" x14ac:dyDescent="0.3">
      <c r="A29" s="1">
        <v>28</v>
      </c>
      <c r="B29" s="1">
        <v>41</v>
      </c>
      <c r="C29" s="1" t="s">
        <v>69</v>
      </c>
      <c r="D29" s="1" t="s">
        <v>564</v>
      </c>
      <c r="E29" s="1" t="s">
        <v>67</v>
      </c>
      <c r="F29" s="1" t="str">
        <f>_xlfn.XLOOKUP(B29,'June 2025'!B:B,'June 2025'!F:F)</f>
        <v>Manufacturing</v>
      </c>
      <c r="G29" s="1">
        <v>30000</v>
      </c>
      <c r="H29" s="1">
        <v>0</v>
      </c>
      <c r="I29" s="1">
        <v>0</v>
      </c>
      <c r="J29" s="1">
        <v>0</v>
      </c>
      <c r="K29" s="1" t="str">
        <f>_xlfn.XLOOKUP(B29,'June 2025'!B:B,'June 2025'!K:K)</f>
        <v>L-9</v>
      </c>
    </row>
    <row r="30" spans="1:11" x14ac:dyDescent="0.3">
      <c r="A30" s="1">
        <v>29</v>
      </c>
      <c r="B30" s="1">
        <v>42</v>
      </c>
      <c r="C30" s="1" t="s">
        <v>70</v>
      </c>
      <c r="D30" s="1" t="s">
        <v>564</v>
      </c>
      <c r="E30" s="1" t="s">
        <v>67</v>
      </c>
      <c r="F30" s="1" t="str">
        <f>_xlfn.XLOOKUP(B30,'June 2025'!B:B,'June 2025'!F:F)</f>
        <v>Manufacturing</v>
      </c>
      <c r="G30" s="1">
        <v>30000</v>
      </c>
      <c r="H30" s="1">
        <v>16516</v>
      </c>
      <c r="I30" s="1">
        <v>0</v>
      </c>
      <c r="J30" s="1">
        <v>0</v>
      </c>
      <c r="K30" s="1" t="str">
        <f>_xlfn.XLOOKUP(B30,'June 2025'!B:B,'June 2025'!K:K)</f>
        <v>L-9</v>
      </c>
    </row>
    <row r="31" spans="1:11" x14ac:dyDescent="0.3">
      <c r="A31" s="1">
        <v>30</v>
      </c>
      <c r="B31" s="1">
        <v>43</v>
      </c>
      <c r="C31" s="1" t="s">
        <v>71</v>
      </c>
      <c r="D31" s="1" t="s">
        <v>564</v>
      </c>
      <c r="E31" s="1" t="s">
        <v>67</v>
      </c>
      <c r="F31" s="1" t="str">
        <f>_xlfn.XLOOKUP(B31,'June 2025'!B:B,'June 2025'!F:F)</f>
        <v>Manufacturing</v>
      </c>
      <c r="G31" s="1">
        <v>30000</v>
      </c>
      <c r="H31" s="1">
        <v>8776</v>
      </c>
      <c r="I31" s="1">
        <v>0</v>
      </c>
      <c r="J31" s="1">
        <v>0</v>
      </c>
      <c r="K31" s="1" t="str">
        <f>_xlfn.XLOOKUP(B31,'June 2025'!B:B,'June 2025'!K:K)</f>
        <v>L-9</v>
      </c>
    </row>
    <row r="32" spans="1:11" x14ac:dyDescent="0.3">
      <c r="A32" s="1">
        <v>31</v>
      </c>
      <c r="B32" s="1">
        <v>44</v>
      </c>
      <c r="C32" s="1" t="s">
        <v>72</v>
      </c>
      <c r="D32" s="1" t="s">
        <v>564</v>
      </c>
      <c r="E32" s="1" t="s">
        <v>67</v>
      </c>
      <c r="F32" s="1" t="str">
        <f>_xlfn.XLOOKUP(B32,'June 2025'!B:B,'June 2025'!F:F)</f>
        <v>Manufacturing</v>
      </c>
      <c r="G32" s="1">
        <v>30000</v>
      </c>
      <c r="H32" s="1">
        <v>13021</v>
      </c>
      <c r="I32" s="1">
        <v>0</v>
      </c>
      <c r="J32" s="1">
        <v>0</v>
      </c>
      <c r="K32" s="1" t="str">
        <f>_xlfn.XLOOKUP(B32,'June 2025'!B:B,'June 2025'!K:K)</f>
        <v>L-9</v>
      </c>
    </row>
    <row r="33" spans="1:11" x14ac:dyDescent="0.3">
      <c r="A33" s="1">
        <v>32</v>
      </c>
      <c r="B33" s="1">
        <v>46</v>
      </c>
      <c r="C33" s="1" t="s">
        <v>74</v>
      </c>
      <c r="D33" s="1" t="s">
        <v>564</v>
      </c>
      <c r="E33" s="1" t="s">
        <v>42</v>
      </c>
      <c r="F33" s="1" t="str">
        <f>_xlfn.XLOOKUP(B33,'June 2025'!B:B,'June 2025'!F:F)</f>
        <v>Overseas</v>
      </c>
      <c r="G33" s="1">
        <v>80000</v>
      </c>
      <c r="H33" s="1">
        <v>78710</v>
      </c>
      <c r="I33" s="1">
        <v>0</v>
      </c>
      <c r="J33" s="1">
        <v>0</v>
      </c>
      <c r="K33" s="1" t="str">
        <f>_xlfn.XLOOKUP(B33,'June 2025'!B:B,'June 2025'!K:K)</f>
        <v>L-5</v>
      </c>
    </row>
    <row r="34" spans="1:11" x14ac:dyDescent="0.3">
      <c r="A34" s="1">
        <v>33</v>
      </c>
      <c r="B34" s="1">
        <v>48</v>
      </c>
      <c r="C34" s="1" t="s">
        <v>77</v>
      </c>
      <c r="D34" s="1" t="s">
        <v>564</v>
      </c>
      <c r="E34" s="1" t="s">
        <v>67</v>
      </c>
      <c r="F34" s="1" t="str">
        <f>_xlfn.XLOOKUP(B34,'June 2025'!B:B,'June 2025'!F:F)</f>
        <v>Manufacturing</v>
      </c>
      <c r="G34" s="1">
        <v>30000</v>
      </c>
      <c r="H34" s="1">
        <v>30089</v>
      </c>
      <c r="I34" s="1">
        <v>0</v>
      </c>
      <c r="J34" s="1">
        <v>0</v>
      </c>
      <c r="K34" s="1" t="str">
        <f>_xlfn.XLOOKUP(B34,'June 2025'!B:B,'June 2025'!K:K)</f>
        <v>L-9</v>
      </c>
    </row>
    <row r="35" spans="1:11" x14ac:dyDescent="0.3">
      <c r="A35" s="1">
        <v>34</v>
      </c>
      <c r="B35" s="1">
        <v>49</v>
      </c>
      <c r="C35" s="1" t="s">
        <v>78</v>
      </c>
      <c r="D35" s="1" t="s">
        <v>564</v>
      </c>
      <c r="E35" s="1" t="s">
        <v>67</v>
      </c>
      <c r="F35" s="1" t="str">
        <f>_xlfn.XLOOKUP(B35,'June 2025'!B:B,'June 2025'!F:F)</f>
        <v>Manufacturing</v>
      </c>
      <c r="G35" s="1">
        <v>30000</v>
      </c>
      <c r="H35" s="1">
        <v>25605</v>
      </c>
      <c r="I35" s="1">
        <v>0</v>
      </c>
      <c r="J35" s="1">
        <v>0</v>
      </c>
      <c r="K35" s="1" t="str">
        <f>_xlfn.XLOOKUP(B35,'June 2025'!B:B,'June 2025'!K:K)</f>
        <v>L-9</v>
      </c>
    </row>
    <row r="36" spans="1:11" x14ac:dyDescent="0.3">
      <c r="A36" s="1">
        <v>35</v>
      </c>
      <c r="B36" s="1">
        <v>10002</v>
      </c>
      <c r="C36" s="1" t="s">
        <v>80</v>
      </c>
      <c r="D36" s="1" t="s">
        <v>565</v>
      </c>
      <c r="E36" s="1" t="s">
        <v>61</v>
      </c>
      <c r="F36" s="1" t="str">
        <f>_xlfn.XLOOKUP(B36,'June 2025'!B:B,'June 2025'!F:F)</f>
        <v>Domestic</v>
      </c>
      <c r="G36" s="1">
        <v>15400</v>
      </c>
      <c r="H36" s="1">
        <v>13413</v>
      </c>
      <c r="I36" s="1">
        <v>0</v>
      </c>
      <c r="J36" s="1">
        <v>0</v>
      </c>
      <c r="K36" s="1" t="str">
        <f>_xlfn.XLOOKUP(B36,'June 2025'!B:B,'June 2025'!K:K)</f>
        <v>L-10</v>
      </c>
    </row>
    <row r="37" spans="1:11" x14ac:dyDescent="0.3">
      <c r="A37" s="1">
        <v>36</v>
      </c>
      <c r="B37" s="1">
        <v>10004</v>
      </c>
      <c r="C37" s="1" t="s">
        <v>83</v>
      </c>
      <c r="D37" s="1" t="s">
        <v>565</v>
      </c>
      <c r="E37" s="1" t="s">
        <v>21</v>
      </c>
      <c r="F37" s="1" t="str">
        <f>_xlfn.XLOOKUP(B37,'June 2025'!B:B,'June 2025'!F:F)</f>
        <v>Manufacturing</v>
      </c>
      <c r="G37" s="1">
        <v>17000</v>
      </c>
      <c r="H37" s="1">
        <v>13710</v>
      </c>
      <c r="I37" s="1">
        <v>0</v>
      </c>
      <c r="J37" s="1">
        <v>0</v>
      </c>
      <c r="K37" s="1" t="str">
        <f>_xlfn.XLOOKUP(B37,'June 2025'!B:B,'June 2025'!K:K)</f>
        <v>L-9</v>
      </c>
    </row>
    <row r="38" spans="1:11" x14ac:dyDescent="0.3">
      <c r="A38" s="1">
        <v>37</v>
      </c>
      <c r="B38" s="1">
        <v>10005</v>
      </c>
      <c r="C38" s="1" t="s">
        <v>84</v>
      </c>
      <c r="D38" s="1" t="s">
        <v>565</v>
      </c>
      <c r="E38" s="1" t="s">
        <v>55</v>
      </c>
      <c r="F38" s="1" t="s">
        <v>504</v>
      </c>
      <c r="G38" s="1">
        <v>17000</v>
      </c>
      <c r="H38" s="1">
        <v>12613</v>
      </c>
      <c r="I38" s="1">
        <v>0</v>
      </c>
      <c r="J38" s="1">
        <v>0</v>
      </c>
      <c r="K38" s="1" t="s">
        <v>555</v>
      </c>
    </row>
    <row r="39" spans="1:11" x14ac:dyDescent="0.3">
      <c r="A39" s="1">
        <v>38</v>
      </c>
      <c r="B39" s="1">
        <v>10006</v>
      </c>
      <c r="C39" s="1" t="s">
        <v>85</v>
      </c>
      <c r="D39" s="1" t="s">
        <v>565</v>
      </c>
      <c r="E39" s="1" t="s">
        <v>12</v>
      </c>
      <c r="F39" s="1" t="s">
        <v>501</v>
      </c>
      <c r="G39" s="1">
        <v>16000</v>
      </c>
      <c r="H39" s="1">
        <v>11355</v>
      </c>
      <c r="I39" s="1">
        <v>0</v>
      </c>
      <c r="J39" s="1">
        <v>0</v>
      </c>
      <c r="K39" s="1" t="s">
        <v>556</v>
      </c>
    </row>
    <row r="40" spans="1:11" x14ac:dyDescent="0.3">
      <c r="A40" s="1">
        <v>39</v>
      </c>
      <c r="B40" s="1">
        <v>10007</v>
      </c>
      <c r="C40" s="1" t="s">
        <v>86</v>
      </c>
      <c r="D40" s="1" t="s">
        <v>565</v>
      </c>
      <c r="E40" s="1" t="s">
        <v>10</v>
      </c>
      <c r="F40" s="1" t="s">
        <v>504</v>
      </c>
      <c r="G40" s="1">
        <v>15000</v>
      </c>
      <c r="H40" s="1">
        <v>13548</v>
      </c>
      <c r="I40" s="1">
        <v>0</v>
      </c>
      <c r="J40" s="1">
        <v>0</v>
      </c>
      <c r="K40" s="1" t="s">
        <v>555</v>
      </c>
    </row>
    <row r="41" spans="1:11" x14ac:dyDescent="0.3">
      <c r="A41" s="1">
        <v>40</v>
      </c>
      <c r="B41" s="1">
        <v>10008</v>
      </c>
      <c r="C41" s="1" t="s">
        <v>87</v>
      </c>
      <c r="D41" s="1" t="s">
        <v>565</v>
      </c>
      <c r="E41" s="1" t="s">
        <v>88</v>
      </c>
      <c r="F41" s="1" t="str">
        <f>_xlfn.XLOOKUP(B41,'June 2025'!B:B,'June 2025'!F:F)</f>
        <v>Office Support</v>
      </c>
      <c r="G41" s="1">
        <v>11000</v>
      </c>
      <c r="H41" s="1">
        <v>11000</v>
      </c>
      <c r="I41" s="1">
        <v>0</v>
      </c>
      <c r="J41" s="1">
        <v>0</v>
      </c>
      <c r="K41" s="1" t="str">
        <f>_xlfn.XLOOKUP(B41,'June 2025'!B:B,'June 2025'!K:K)</f>
        <v>L-10</v>
      </c>
    </row>
    <row r="42" spans="1:11" x14ac:dyDescent="0.3">
      <c r="A42" s="1">
        <v>41</v>
      </c>
      <c r="B42" s="1">
        <v>10009</v>
      </c>
      <c r="C42" s="1" t="s">
        <v>89</v>
      </c>
      <c r="D42" s="1" t="s">
        <v>565</v>
      </c>
      <c r="E42" s="1" t="s">
        <v>53</v>
      </c>
      <c r="F42" s="1" t="s">
        <v>501</v>
      </c>
      <c r="G42" s="1">
        <v>11500</v>
      </c>
      <c r="H42" s="1">
        <v>0</v>
      </c>
      <c r="I42" s="1">
        <v>0</v>
      </c>
      <c r="J42" s="1">
        <v>0</v>
      </c>
      <c r="K42" s="1" t="s">
        <v>557</v>
      </c>
    </row>
    <row r="43" spans="1:11" x14ac:dyDescent="0.3">
      <c r="A43" s="1">
        <v>42</v>
      </c>
      <c r="B43" s="1">
        <v>10012</v>
      </c>
      <c r="C43" s="1" t="s">
        <v>92</v>
      </c>
      <c r="D43" s="1" t="s">
        <v>567</v>
      </c>
      <c r="E43" s="1" t="s">
        <v>93</v>
      </c>
      <c r="F43" s="1" t="str">
        <f>_xlfn.XLOOKUP(B43,'June 2025'!B:B,'June 2025'!F:F)</f>
        <v>Office Support</v>
      </c>
      <c r="G43" s="1">
        <v>14000</v>
      </c>
      <c r="H43" s="1">
        <v>0</v>
      </c>
      <c r="I43" s="1">
        <v>0</v>
      </c>
      <c r="J43" s="1">
        <v>0</v>
      </c>
      <c r="K43" s="1" t="str">
        <f>_xlfn.XLOOKUP(B43,'June 2025'!B:B,'June 2025'!K:K)</f>
        <v>L-10</v>
      </c>
    </row>
    <row r="44" spans="1:11" x14ac:dyDescent="0.3">
      <c r="A44" s="1">
        <v>43</v>
      </c>
      <c r="B44" s="1">
        <v>10013</v>
      </c>
      <c r="C44" s="1" t="s">
        <v>94</v>
      </c>
      <c r="D44" s="1" t="s">
        <v>565</v>
      </c>
      <c r="E44" s="1" t="s">
        <v>10</v>
      </c>
      <c r="F44" s="1" t="s">
        <v>504</v>
      </c>
      <c r="G44" s="1">
        <v>13500</v>
      </c>
      <c r="H44" s="1">
        <v>12629</v>
      </c>
      <c r="I44" s="1">
        <v>0</v>
      </c>
      <c r="J44" s="1">
        <v>0</v>
      </c>
      <c r="K44" s="1" t="s">
        <v>555</v>
      </c>
    </row>
    <row r="45" spans="1:11" x14ac:dyDescent="0.3">
      <c r="A45" s="1">
        <v>44</v>
      </c>
      <c r="B45" s="1">
        <v>10014</v>
      </c>
      <c r="C45" s="1" t="s">
        <v>95</v>
      </c>
      <c r="D45" s="1" t="s">
        <v>565</v>
      </c>
      <c r="E45" s="1" t="s">
        <v>53</v>
      </c>
      <c r="F45" s="1" t="str">
        <f>_xlfn.XLOOKUP(B45,'June 2025'!B:B,'June 2025'!F:F)</f>
        <v>Manufacturing</v>
      </c>
      <c r="G45" s="1">
        <v>12000</v>
      </c>
      <c r="H45" s="1">
        <v>10065</v>
      </c>
      <c r="I45" s="1">
        <v>0</v>
      </c>
      <c r="J45" s="1">
        <v>0</v>
      </c>
      <c r="K45" s="1" t="str">
        <f>_xlfn.XLOOKUP(B45,'June 2025'!B:B,'June 2025'!K:K)</f>
        <v>L-10</v>
      </c>
    </row>
    <row r="46" spans="1:11" x14ac:dyDescent="0.3">
      <c r="A46" s="1">
        <v>45</v>
      </c>
      <c r="B46" s="1">
        <v>10015</v>
      </c>
      <c r="C46" s="1" t="s">
        <v>96</v>
      </c>
      <c r="D46" s="1" t="s">
        <v>565</v>
      </c>
      <c r="E46" s="1" t="s">
        <v>35</v>
      </c>
      <c r="F46" s="1" t="str">
        <f>_xlfn.XLOOKUP(B46,'June 2025'!B:B,'June 2025'!F:F)</f>
        <v>Manufacturing</v>
      </c>
      <c r="G46" s="1">
        <v>14000</v>
      </c>
      <c r="H46" s="1">
        <v>7677</v>
      </c>
      <c r="I46" s="1">
        <v>0</v>
      </c>
      <c r="J46" s="1">
        <v>0</v>
      </c>
      <c r="K46" s="1" t="str">
        <f>_xlfn.XLOOKUP(B46,'June 2025'!B:B,'June 2025'!K:K)</f>
        <v>L-9</v>
      </c>
    </row>
    <row r="47" spans="1:11" x14ac:dyDescent="0.3">
      <c r="A47" s="1">
        <v>46</v>
      </c>
      <c r="B47" s="1">
        <v>10016</v>
      </c>
      <c r="C47" s="1" t="s">
        <v>97</v>
      </c>
      <c r="D47" s="1" t="s">
        <v>565</v>
      </c>
      <c r="E47" s="1" t="s">
        <v>10</v>
      </c>
      <c r="F47" s="1" t="s">
        <v>506</v>
      </c>
      <c r="G47" s="1">
        <v>13500</v>
      </c>
      <c r="H47" s="1">
        <v>11758</v>
      </c>
      <c r="I47" s="1">
        <v>0</v>
      </c>
      <c r="J47" s="1">
        <v>0</v>
      </c>
      <c r="K47" s="1" t="s">
        <v>555</v>
      </c>
    </row>
    <row r="48" spans="1:11" x14ac:dyDescent="0.3">
      <c r="A48" s="1">
        <v>47</v>
      </c>
      <c r="B48" s="1">
        <v>10017</v>
      </c>
      <c r="C48" s="1" t="s">
        <v>98</v>
      </c>
      <c r="D48" s="1" t="s">
        <v>565</v>
      </c>
      <c r="E48" s="1" t="s">
        <v>53</v>
      </c>
      <c r="F48" s="1" t="str">
        <f>_xlfn.XLOOKUP(B48,'June 2025'!B:B,'June 2025'!F:F)</f>
        <v>Manufacturing</v>
      </c>
      <c r="G48" s="1">
        <v>13000</v>
      </c>
      <c r="H48" s="1">
        <v>7548</v>
      </c>
      <c r="I48" s="1">
        <v>0</v>
      </c>
      <c r="J48" s="1">
        <v>0</v>
      </c>
      <c r="K48" s="1" t="str">
        <f>_xlfn.XLOOKUP(B48,'June 2025'!B:B,'June 2025'!K:K)</f>
        <v>L-10</v>
      </c>
    </row>
    <row r="49" spans="1:11" x14ac:dyDescent="0.3">
      <c r="A49" s="1">
        <v>48</v>
      </c>
      <c r="B49" s="1">
        <v>10018</v>
      </c>
      <c r="C49" s="1" t="s">
        <v>99</v>
      </c>
      <c r="D49" s="1" t="s">
        <v>565</v>
      </c>
      <c r="E49" s="1" t="s">
        <v>35</v>
      </c>
      <c r="F49" s="1" t="str">
        <f>_xlfn.XLOOKUP(B49,'June 2025'!B:B,'June 2025'!F:F)</f>
        <v>Manufacturing</v>
      </c>
      <c r="G49" s="1">
        <v>15700</v>
      </c>
      <c r="H49" s="1">
        <v>14180</v>
      </c>
      <c r="I49" s="1">
        <v>0</v>
      </c>
      <c r="J49" s="1">
        <v>0</v>
      </c>
      <c r="K49" s="1" t="str">
        <f>_xlfn.XLOOKUP(B49,'June 2025'!B:B,'June 2025'!K:K)</f>
        <v>L-9</v>
      </c>
    </row>
    <row r="50" spans="1:11" x14ac:dyDescent="0.3">
      <c r="A50" s="1">
        <v>49</v>
      </c>
      <c r="B50" s="1">
        <v>10020</v>
      </c>
      <c r="C50" s="1" t="s">
        <v>101</v>
      </c>
      <c r="D50" s="1" t="s">
        <v>565</v>
      </c>
      <c r="E50" s="1" t="s">
        <v>35</v>
      </c>
      <c r="F50" s="1" t="str">
        <f>_xlfn.XLOOKUP(B50,'June 2025'!B:B,'June 2025'!F:F)</f>
        <v>Manufacturing</v>
      </c>
      <c r="G50" s="1">
        <v>14500</v>
      </c>
      <c r="H50" s="1">
        <v>12863</v>
      </c>
      <c r="I50" s="1">
        <v>0</v>
      </c>
      <c r="J50" s="1">
        <v>0</v>
      </c>
      <c r="K50" s="1" t="str">
        <f>_xlfn.XLOOKUP(B50,'June 2025'!B:B,'June 2025'!K:K)</f>
        <v>L-9</v>
      </c>
    </row>
    <row r="51" spans="1:11" x14ac:dyDescent="0.3">
      <c r="A51" s="1">
        <v>50</v>
      </c>
      <c r="B51" s="1">
        <v>10021</v>
      </c>
      <c r="C51" s="1" t="s">
        <v>102</v>
      </c>
      <c r="D51" s="1" t="s">
        <v>565</v>
      </c>
      <c r="E51" s="1" t="s">
        <v>35</v>
      </c>
      <c r="F51" s="1" t="str">
        <f>_xlfn.XLOOKUP(B51,'June 2025'!B:B,'June 2025'!F:F)</f>
        <v>Manufacturing</v>
      </c>
      <c r="G51" s="1">
        <v>14200</v>
      </c>
      <c r="H51" s="1">
        <v>8245</v>
      </c>
      <c r="I51" s="1">
        <v>0</v>
      </c>
      <c r="J51" s="1">
        <v>0</v>
      </c>
      <c r="K51" s="1" t="str">
        <f>_xlfn.XLOOKUP(B51,'June 2025'!B:B,'June 2025'!K:K)</f>
        <v>L-9</v>
      </c>
    </row>
    <row r="52" spans="1:11" x14ac:dyDescent="0.3">
      <c r="A52" s="1">
        <v>51</v>
      </c>
      <c r="B52" s="1">
        <v>10027</v>
      </c>
      <c r="C52" s="1" t="s">
        <v>108</v>
      </c>
      <c r="D52" s="1" t="s">
        <v>565</v>
      </c>
      <c r="E52" s="1" t="s">
        <v>64</v>
      </c>
      <c r="F52" s="1" t="str">
        <f>_xlfn.XLOOKUP(B52,'June 2025'!B:B,'June 2025'!F:F)</f>
        <v>Domestic</v>
      </c>
      <c r="G52" s="1">
        <v>6500</v>
      </c>
      <c r="H52" s="1">
        <v>5452</v>
      </c>
      <c r="I52" s="1">
        <v>0</v>
      </c>
      <c r="J52" s="1">
        <v>0</v>
      </c>
      <c r="K52" s="1" t="str">
        <f>_xlfn.XLOOKUP(B52,'June 2025'!B:B,'June 2025'!K:K)</f>
        <v>L-7</v>
      </c>
    </row>
    <row r="53" spans="1:11" x14ac:dyDescent="0.3">
      <c r="A53" s="1">
        <v>52</v>
      </c>
      <c r="B53" s="1">
        <v>10036</v>
      </c>
      <c r="C53" s="1" t="s">
        <v>117</v>
      </c>
      <c r="D53" s="1" t="s">
        <v>565</v>
      </c>
      <c r="E53" s="1" t="s">
        <v>35</v>
      </c>
      <c r="F53" s="1" t="str">
        <f>_xlfn.XLOOKUP(B53,'June 2025'!B:B,'June 2025'!F:F)</f>
        <v>Manufacturing</v>
      </c>
      <c r="G53" s="1">
        <v>14500</v>
      </c>
      <c r="H53" s="1">
        <v>14032</v>
      </c>
      <c r="I53" s="1">
        <v>0</v>
      </c>
      <c r="J53" s="1">
        <v>0</v>
      </c>
      <c r="K53" s="1" t="str">
        <f>_xlfn.XLOOKUP(B53,'June 2025'!B:B,'June 2025'!K:K)</f>
        <v>L-9</v>
      </c>
    </row>
    <row r="54" spans="1:11" x14ac:dyDescent="0.3">
      <c r="A54" s="1">
        <v>53</v>
      </c>
      <c r="B54" s="1">
        <v>10037</v>
      </c>
      <c r="C54" s="1" t="s">
        <v>118</v>
      </c>
      <c r="D54" s="1" t="s">
        <v>565</v>
      </c>
      <c r="E54" s="1" t="s">
        <v>35</v>
      </c>
      <c r="F54" s="1" t="str">
        <f>_xlfn.XLOOKUP(B54,'June 2025'!B:B,'June 2025'!F:F)</f>
        <v>Manufacturing</v>
      </c>
      <c r="G54" s="1">
        <v>15000</v>
      </c>
      <c r="H54" s="1">
        <v>14516</v>
      </c>
      <c r="I54" s="1">
        <v>0</v>
      </c>
      <c r="J54" s="1">
        <v>0</v>
      </c>
      <c r="K54" s="1" t="str">
        <f>_xlfn.XLOOKUP(B54,'June 2025'!B:B,'June 2025'!K:K)</f>
        <v>L-9</v>
      </c>
    </row>
    <row r="55" spans="1:11" x14ac:dyDescent="0.3">
      <c r="A55" s="1">
        <v>54</v>
      </c>
      <c r="B55" s="1">
        <v>10041</v>
      </c>
      <c r="C55" s="1" t="s">
        <v>122</v>
      </c>
      <c r="D55" s="1" t="s">
        <v>565</v>
      </c>
      <c r="E55" s="1" t="s">
        <v>35</v>
      </c>
      <c r="F55" s="1" t="str">
        <f>_xlfn.XLOOKUP(B55,'June 2025'!B:B,'June 2025'!F:F)</f>
        <v>Manufacturing</v>
      </c>
      <c r="G55" s="1">
        <v>14000</v>
      </c>
      <c r="H55" s="1">
        <v>10838</v>
      </c>
      <c r="I55" s="1">
        <v>0</v>
      </c>
      <c r="J55" s="1">
        <v>0</v>
      </c>
      <c r="K55" s="1" t="str">
        <f>_xlfn.XLOOKUP(B55,'June 2025'!B:B,'June 2025'!K:K)</f>
        <v>L-9</v>
      </c>
    </row>
    <row r="56" spans="1:11" x14ac:dyDescent="0.3">
      <c r="A56" s="1">
        <v>55</v>
      </c>
      <c r="B56" s="1">
        <v>10043</v>
      </c>
      <c r="C56" s="1" t="s">
        <v>124</v>
      </c>
      <c r="D56" s="1" t="s">
        <v>565</v>
      </c>
      <c r="E56" s="1" t="s">
        <v>35</v>
      </c>
      <c r="F56" s="1" t="str">
        <f>_xlfn.XLOOKUP(B56,'June 2025'!B:B,'June 2025'!F:F)</f>
        <v>Domestic</v>
      </c>
      <c r="G56" s="1">
        <v>13500</v>
      </c>
      <c r="H56" s="1">
        <v>8275</v>
      </c>
      <c r="I56" s="1">
        <v>0</v>
      </c>
      <c r="J56" s="1">
        <v>0</v>
      </c>
      <c r="K56" s="1" t="str">
        <f>_xlfn.XLOOKUP(B56,'June 2025'!B:B,'June 2025'!K:K)</f>
        <v>L-9</v>
      </c>
    </row>
    <row r="57" spans="1:11" x14ac:dyDescent="0.3">
      <c r="A57" s="1">
        <v>56</v>
      </c>
      <c r="B57" s="1">
        <v>10046</v>
      </c>
      <c r="C57" s="1" t="s">
        <v>127</v>
      </c>
      <c r="D57" s="1" t="s">
        <v>565</v>
      </c>
      <c r="E57" s="1" t="s">
        <v>55</v>
      </c>
      <c r="F57" s="1" t="s">
        <v>504</v>
      </c>
      <c r="G57" s="1">
        <v>16500</v>
      </c>
      <c r="H57" s="1">
        <v>16500</v>
      </c>
      <c r="I57" s="1">
        <v>0</v>
      </c>
      <c r="J57" s="1">
        <v>0</v>
      </c>
      <c r="K57" s="1" t="s">
        <v>554</v>
      </c>
    </row>
    <row r="58" spans="1:11" x14ac:dyDescent="0.3">
      <c r="A58" s="1">
        <v>57</v>
      </c>
      <c r="B58" s="1">
        <v>10049</v>
      </c>
      <c r="C58" s="1" t="s">
        <v>131</v>
      </c>
      <c r="D58" s="1" t="s">
        <v>565</v>
      </c>
      <c r="E58" s="1" t="s">
        <v>53</v>
      </c>
      <c r="F58" s="1" t="str">
        <f>_xlfn.XLOOKUP(B58,'June 2025'!B:B,'June 2025'!F:F)</f>
        <v>Domestic</v>
      </c>
      <c r="G58" s="1">
        <v>13000</v>
      </c>
      <c r="H58" s="1">
        <v>7339</v>
      </c>
      <c r="I58" s="1">
        <v>0</v>
      </c>
      <c r="J58" s="1">
        <v>0</v>
      </c>
      <c r="K58" s="1" t="str">
        <f>_xlfn.XLOOKUP(B58,'June 2025'!B:B,'June 2025'!K:K)</f>
        <v>L-10</v>
      </c>
    </row>
    <row r="59" spans="1:11" x14ac:dyDescent="0.3">
      <c r="A59" s="1">
        <v>58</v>
      </c>
      <c r="B59" s="1">
        <v>10050</v>
      </c>
      <c r="C59" s="1" t="s">
        <v>132</v>
      </c>
      <c r="D59" s="1" t="s">
        <v>565</v>
      </c>
      <c r="E59" s="1" t="s">
        <v>53</v>
      </c>
      <c r="F59" s="1" t="s">
        <v>501</v>
      </c>
      <c r="G59" s="1">
        <v>11000</v>
      </c>
      <c r="H59" s="1">
        <v>0</v>
      </c>
      <c r="I59" s="1">
        <v>0</v>
      </c>
      <c r="J59" s="1">
        <v>0</v>
      </c>
      <c r="K59" s="1" t="s">
        <v>557</v>
      </c>
    </row>
    <row r="60" spans="1:11" x14ac:dyDescent="0.3">
      <c r="A60" s="1">
        <v>59</v>
      </c>
      <c r="B60" s="1">
        <v>10053</v>
      </c>
      <c r="C60" s="1" t="s">
        <v>136</v>
      </c>
      <c r="D60" s="1" t="s">
        <v>565</v>
      </c>
      <c r="E60" s="1" t="s">
        <v>55</v>
      </c>
      <c r="F60" s="1" t="s">
        <v>501</v>
      </c>
      <c r="G60" s="1">
        <v>13000</v>
      </c>
      <c r="H60" s="1">
        <v>9435</v>
      </c>
      <c r="I60" s="1">
        <v>0</v>
      </c>
      <c r="J60" s="1">
        <v>0</v>
      </c>
      <c r="K60" s="1" t="s">
        <v>554</v>
      </c>
    </row>
    <row r="61" spans="1:11" x14ac:dyDescent="0.3">
      <c r="A61" s="1">
        <v>60</v>
      </c>
      <c r="B61" s="1">
        <v>10054</v>
      </c>
      <c r="C61" s="1" t="s">
        <v>137</v>
      </c>
      <c r="D61" s="1" t="s">
        <v>565</v>
      </c>
      <c r="E61" s="1" t="s">
        <v>55</v>
      </c>
      <c r="F61" s="1" t="s">
        <v>504</v>
      </c>
      <c r="G61" s="1">
        <v>14500</v>
      </c>
      <c r="H61" s="1">
        <v>13798</v>
      </c>
      <c r="I61" s="1">
        <v>0</v>
      </c>
      <c r="J61" s="1">
        <v>0</v>
      </c>
      <c r="K61" s="1" t="s">
        <v>554</v>
      </c>
    </row>
    <row r="62" spans="1:11" x14ac:dyDescent="0.3">
      <c r="A62" s="1">
        <v>61</v>
      </c>
      <c r="B62" s="1">
        <v>10055</v>
      </c>
      <c r="C62" s="1" t="s">
        <v>138</v>
      </c>
      <c r="D62" s="1" t="s">
        <v>565</v>
      </c>
      <c r="E62" s="1" t="s">
        <v>53</v>
      </c>
      <c r="F62" s="1" t="str">
        <f>_xlfn.XLOOKUP(B62,'June 2025'!B:B,'June 2025'!F:F)</f>
        <v>Domestic</v>
      </c>
      <c r="G62" s="1">
        <v>11000</v>
      </c>
      <c r="H62" s="1">
        <v>10290</v>
      </c>
      <c r="I62" s="1">
        <v>0</v>
      </c>
      <c r="J62" s="1">
        <v>0</v>
      </c>
      <c r="K62" s="1" t="str">
        <f>_xlfn.XLOOKUP(B62,'June 2025'!B:B,'June 2025'!K:K)</f>
        <v>L-10</v>
      </c>
    </row>
    <row r="63" spans="1:11" x14ac:dyDescent="0.3">
      <c r="A63" s="1">
        <v>62</v>
      </c>
      <c r="B63" s="1">
        <v>10057</v>
      </c>
      <c r="C63" s="1" t="s">
        <v>140</v>
      </c>
      <c r="D63" s="1" t="s">
        <v>565</v>
      </c>
      <c r="E63" s="1" t="s">
        <v>12</v>
      </c>
      <c r="F63" s="1" t="s">
        <v>501</v>
      </c>
      <c r="G63" s="1">
        <v>22000</v>
      </c>
      <c r="H63" s="1">
        <v>20580</v>
      </c>
      <c r="I63" s="1">
        <v>0</v>
      </c>
      <c r="J63" s="1">
        <v>0</v>
      </c>
      <c r="K63" s="1" t="s">
        <v>556</v>
      </c>
    </row>
    <row r="64" spans="1:11" x14ac:dyDescent="0.3">
      <c r="A64" s="1">
        <v>63</v>
      </c>
      <c r="B64" s="1">
        <v>10061</v>
      </c>
      <c r="C64" s="1" t="s">
        <v>144</v>
      </c>
      <c r="D64" s="1" t="s">
        <v>565</v>
      </c>
      <c r="E64" s="1" t="s">
        <v>8</v>
      </c>
      <c r="F64" s="1" t="str">
        <f>_xlfn.XLOOKUP(B64,'June 2025'!B:B,'June 2025'!F:F)</f>
        <v>Manufacturing</v>
      </c>
      <c r="G64" s="1">
        <v>8800</v>
      </c>
      <c r="H64" s="1">
        <v>7665</v>
      </c>
      <c r="I64" s="1">
        <v>0</v>
      </c>
      <c r="J64" s="1">
        <v>0</v>
      </c>
      <c r="K64" s="1" t="str">
        <f>_xlfn.XLOOKUP(B64,'June 2025'!B:B,'June 2025'!K:K)</f>
        <v>L-9</v>
      </c>
    </row>
    <row r="65" spans="1:11" x14ac:dyDescent="0.3">
      <c r="A65" s="1">
        <v>64</v>
      </c>
      <c r="B65" s="1">
        <v>10062</v>
      </c>
      <c r="C65" s="1" t="s">
        <v>145</v>
      </c>
      <c r="D65" s="1" t="s">
        <v>565</v>
      </c>
      <c r="E65" s="1" t="s">
        <v>53</v>
      </c>
      <c r="F65" s="1" t="str">
        <f>_xlfn.XLOOKUP(B65,'June 2025'!B:B,'June 2025'!F:F)</f>
        <v>Manufacturing</v>
      </c>
      <c r="G65" s="1">
        <v>10500</v>
      </c>
      <c r="H65" s="1">
        <v>9484</v>
      </c>
      <c r="I65" s="1">
        <v>0</v>
      </c>
      <c r="J65" s="1">
        <v>0</v>
      </c>
      <c r="K65" s="1" t="str">
        <f>_xlfn.XLOOKUP(B65,'June 2025'!B:B,'June 2025'!K:K)</f>
        <v>L-10</v>
      </c>
    </row>
    <row r="66" spans="1:11" x14ac:dyDescent="0.3">
      <c r="A66" s="1">
        <v>65</v>
      </c>
      <c r="B66" s="1">
        <v>10063</v>
      </c>
      <c r="C66" s="1" t="s">
        <v>146</v>
      </c>
      <c r="D66" s="1" t="s">
        <v>565</v>
      </c>
      <c r="E66" s="1" t="s">
        <v>53</v>
      </c>
      <c r="F66" s="1" t="str">
        <f>_xlfn.XLOOKUP(B66,'June 2025'!B:B,'June 2025'!F:F)</f>
        <v>Manufacturing</v>
      </c>
      <c r="G66" s="1">
        <v>11000</v>
      </c>
      <c r="H66" s="1">
        <v>11000</v>
      </c>
      <c r="I66" s="1">
        <v>0</v>
      </c>
      <c r="J66" s="1">
        <v>0</v>
      </c>
      <c r="K66" s="1" t="str">
        <f>_xlfn.XLOOKUP(B66,'June 2025'!B:B,'June 2025'!K:K)</f>
        <v>L-10</v>
      </c>
    </row>
    <row r="67" spans="1:11" x14ac:dyDescent="0.3">
      <c r="A67" s="1">
        <v>66</v>
      </c>
      <c r="B67" s="1">
        <v>10064</v>
      </c>
      <c r="C67" s="1" t="s">
        <v>147</v>
      </c>
      <c r="D67" s="1" t="s">
        <v>565</v>
      </c>
      <c r="E67" s="1" t="s">
        <v>35</v>
      </c>
      <c r="F67" s="1" t="str">
        <f>_xlfn.XLOOKUP(B67,'June 2025'!B:B,'June 2025'!F:F)</f>
        <v>Manufacturing</v>
      </c>
      <c r="G67" s="1">
        <v>13500</v>
      </c>
      <c r="H67" s="1">
        <v>13500</v>
      </c>
      <c r="I67" s="1">
        <v>0</v>
      </c>
      <c r="J67" s="1">
        <v>0</v>
      </c>
      <c r="K67" s="1" t="str">
        <f>_xlfn.XLOOKUP(B67,'June 2025'!B:B,'June 2025'!K:K)</f>
        <v>L-9</v>
      </c>
    </row>
    <row r="68" spans="1:11" x14ac:dyDescent="0.3">
      <c r="A68" s="1">
        <v>67</v>
      </c>
      <c r="B68" s="1">
        <v>10068</v>
      </c>
      <c r="C68" s="1" t="s">
        <v>150</v>
      </c>
      <c r="D68" s="1" t="s">
        <v>565</v>
      </c>
      <c r="E68" s="1" t="s">
        <v>53</v>
      </c>
      <c r="F68" s="1" t="str">
        <f>_xlfn.XLOOKUP(B68,'June 2025'!B:B,'June 2025'!F:F)</f>
        <v>Domestic</v>
      </c>
      <c r="G68" s="1">
        <v>13500</v>
      </c>
      <c r="H68" s="1">
        <v>10234</v>
      </c>
      <c r="I68" s="1">
        <v>0</v>
      </c>
      <c r="J68" s="1">
        <v>0</v>
      </c>
      <c r="K68" s="1" t="str">
        <f>_xlfn.XLOOKUP(B68,'June 2025'!B:B,'June 2025'!K:K)</f>
        <v>L-10</v>
      </c>
    </row>
    <row r="69" spans="1:11" x14ac:dyDescent="0.3">
      <c r="A69" s="1">
        <v>68</v>
      </c>
      <c r="B69" s="1">
        <v>10069</v>
      </c>
      <c r="C69" s="1" t="s">
        <v>151</v>
      </c>
      <c r="D69" s="1" t="s">
        <v>565</v>
      </c>
      <c r="E69" s="1" t="s">
        <v>35</v>
      </c>
      <c r="F69" s="1" t="str">
        <f>_xlfn.XLOOKUP(B69,'June 2025'!B:B,'June 2025'!F:F)</f>
        <v>Manufacturing</v>
      </c>
      <c r="G69" s="1">
        <v>13000</v>
      </c>
      <c r="H69" s="1">
        <v>12371</v>
      </c>
      <c r="I69" s="1">
        <v>0</v>
      </c>
      <c r="J69" s="1">
        <v>0</v>
      </c>
      <c r="K69" s="1" t="str">
        <f>_xlfn.XLOOKUP(B69,'June 2025'!B:B,'June 2025'!K:K)</f>
        <v>L-9</v>
      </c>
    </row>
    <row r="70" spans="1:11" x14ac:dyDescent="0.3">
      <c r="A70" s="1">
        <v>69</v>
      </c>
      <c r="B70" s="1">
        <v>10070</v>
      </c>
      <c r="C70" s="1" t="s">
        <v>152</v>
      </c>
      <c r="D70" s="1" t="s">
        <v>565</v>
      </c>
      <c r="E70" s="1" t="s">
        <v>35</v>
      </c>
      <c r="F70" s="1" t="str">
        <f>_xlfn.XLOOKUP(B70,'June 2025'!B:B,'June 2025'!F:F)</f>
        <v>Manufacturing</v>
      </c>
      <c r="G70" s="1">
        <v>13500</v>
      </c>
      <c r="H70" s="1">
        <v>7838</v>
      </c>
      <c r="I70" s="1">
        <v>0</v>
      </c>
      <c r="J70" s="1">
        <v>0</v>
      </c>
      <c r="K70" s="1" t="str">
        <f>_xlfn.XLOOKUP(B70,'June 2025'!B:B,'June 2025'!K:K)</f>
        <v>L-9</v>
      </c>
    </row>
    <row r="71" spans="1:11" x14ac:dyDescent="0.3">
      <c r="A71" s="1">
        <v>70</v>
      </c>
      <c r="B71" s="1">
        <v>10074</v>
      </c>
      <c r="C71" s="1" t="s">
        <v>95</v>
      </c>
      <c r="D71" s="1" t="s">
        <v>565</v>
      </c>
      <c r="E71" s="1" t="s">
        <v>53</v>
      </c>
      <c r="F71" s="1" t="str">
        <f>_xlfn.XLOOKUP(B71,'June 2025'!B:B,'June 2025'!F:F)</f>
        <v>Manufacturing</v>
      </c>
      <c r="G71" s="1">
        <v>11000</v>
      </c>
      <c r="H71" s="1">
        <v>3903</v>
      </c>
      <c r="I71" s="1">
        <v>0</v>
      </c>
      <c r="J71" s="1">
        <v>0</v>
      </c>
      <c r="K71" s="1" t="str">
        <f>_xlfn.XLOOKUP(B71,'June 2025'!B:B,'June 2025'!K:K)</f>
        <v>L-9</v>
      </c>
    </row>
    <row r="72" spans="1:11" x14ac:dyDescent="0.3">
      <c r="A72" s="1">
        <v>71</v>
      </c>
      <c r="B72" s="1">
        <v>10076</v>
      </c>
      <c r="C72" s="1" t="s">
        <v>157</v>
      </c>
      <c r="D72" s="1" t="s">
        <v>565</v>
      </c>
      <c r="E72" s="1" t="s">
        <v>61</v>
      </c>
      <c r="F72" s="1" t="str">
        <f>_xlfn.XLOOKUP(B72,'June 2025'!B:B,'June 2025'!F:F)</f>
        <v>Manufacturing</v>
      </c>
      <c r="G72" s="1">
        <v>12500</v>
      </c>
      <c r="H72" s="1">
        <v>11290</v>
      </c>
      <c r="I72" s="1">
        <v>0</v>
      </c>
      <c r="J72" s="1">
        <v>0</v>
      </c>
      <c r="K72" s="1" t="str">
        <f>_xlfn.XLOOKUP(B72,'June 2025'!B:B,'June 2025'!K:K)</f>
        <v>L-9</v>
      </c>
    </row>
    <row r="73" spans="1:11" x14ac:dyDescent="0.3">
      <c r="A73" s="1">
        <v>72</v>
      </c>
      <c r="B73" s="1">
        <v>10078</v>
      </c>
      <c r="C73" s="1" t="s">
        <v>159</v>
      </c>
      <c r="D73" s="1" t="s">
        <v>565</v>
      </c>
      <c r="E73" s="1" t="s">
        <v>12</v>
      </c>
      <c r="F73" s="1" t="s">
        <v>501</v>
      </c>
      <c r="G73" s="1">
        <v>19000</v>
      </c>
      <c r="H73" s="1">
        <v>17774</v>
      </c>
      <c r="I73" s="1">
        <v>0</v>
      </c>
      <c r="J73" s="1">
        <v>0</v>
      </c>
      <c r="K73" s="1" t="s">
        <v>556</v>
      </c>
    </row>
    <row r="74" spans="1:11" x14ac:dyDescent="0.3">
      <c r="A74" s="1">
        <v>73</v>
      </c>
      <c r="B74" s="1">
        <v>50</v>
      </c>
      <c r="C74" s="1" t="s">
        <v>199</v>
      </c>
      <c r="D74" s="1" t="s">
        <v>564</v>
      </c>
      <c r="E74" s="1" t="s">
        <v>10</v>
      </c>
      <c r="F74" s="1" t="str">
        <f>_xlfn.XLOOKUP(B74,'June 2025'!B:B,'June 2025'!F:F)</f>
        <v>Domestic</v>
      </c>
      <c r="G74" s="1">
        <v>30000</v>
      </c>
      <c r="H74" s="1">
        <v>30000</v>
      </c>
      <c r="I74" s="1">
        <v>0</v>
      </c>
      <c r="J74" s="1">
        <v>0</v>
      </c>
      <c r="K74" s="1" t="str">
        <f>_xlfn.XLOOKUP(B74,'June 2025'!B:B,'June 2025'!K:K)</f>
        <v>L-6</v>
      </c>
    </row>
    <row r="75" spans="1:11" x14ac:dyDescent="0.3">
      <c r="A75" s="1">
        <v>74</v>
      </c>
      <c r="B75" s="1">
        <v>10092</v>
      </c>
      <c r="C75" s="1" t="s">
        <v>204</v>
      </c>
      <c r="D75" s="1" t="s">
        <v>565</v>
      </c>
      <c r="E75" s="1" t="s">
        <v>41</v>
      </c>
      <c r="F75" s="1" t="s">
        <v>501</v>
      </c>
      <c r="G75" s="1">
        <v>17000</v>
      </c>
      <c r="H75" s="1">
        <v>17000</v>
      </c>
      <c r="I75" s="1">
        <v>0</v>
      </c>
      <c r="J75" s="1">
        <v>0</v>
      </c>
      <c r="K75" s="1" t="s">
        <v>555</v>
      </c>
    </row>
    <row r="76" spans="1:11" x14ac:dyDescent="0.3">
      <c r="A76" s="1">
        <v>75</v>
      </c>
      <c r="B76" s="1">
        <v>10093</v>
      </c>
      <c r="C76" s="1" t="s">
        <v>205</v>
      </c>
      <c r="D76" s="1" t="s">
        <v>565</v>
      </c>
      <c r="E76" s="1" t="s">
        <v>55</v>
      </c>
      <c r="F76" s="1" t="s">
        <v>504</v>
      </c>
      <c r="G76" s="1">
        <v>12500</v>
      </c>
      <c r="H76" s="1">
        <v>6048</v>
      </c>
      <c r="I76" s="1">
        <v>0</v>
      </c>
      <c r="J76" s="1">
        <v>0</v>
      </c>
      <c r="K76" s="1" t="s">
        <v>554</v>
      </c>
    </row>
    <row r="77" spans="1:11" x14ac:dyDescent="0.3">
      <c r="A77" s="1">
        <v>76</v>
      </c>
      <c r="B77" s="1">
        <v>10096</v>
      </c>
      <c r="C77" s="1" t="s">
        <v>210</v>
      </c>
      <c r="D77" s="1" t="s">
        <v>565</v>
      </c>
      <c r="E77" s="1" t="s">
        <v>61</v>
      </c>
      <c r="F77" s="1" t="str">
        <f>_xlfn.XLOOKUP(B77,'June 2025'!B:B,'June 2025'!F:F)</f>
        <v>Manufacturing</v>
      </c>
      <c r="G77" s="1">
        <v>13000</v>
      </c>
      <c r="H77" s="1">
        <v>12580</v>
      </c>
      <c r="I77" s="1">
        <v>0</v>
      </c>
      <c r="J77" s="1">
        <v>0</v>
      </c>
      <c r="K77" s="1" t="str">
        <f>_xlfn.XLOOKUP(B77,'June 2025'!B:B,'June 2025'!K:K)</f>
        <v>L-9</v>
      </c>
    </row>
    <row r="78" spans="1:11" x14ac:dyDescent="0.3">
      <c r="A78" s="1">
        <v>77</v>
      </c>
      <c r="B78" s="1">
        <v>10097</v>
      </c>
      <c r="C78" s="1" t="s">
        <v>211</v>
      </c>
      <c r="D78" s="1" t="s">
        <v>565</v>
      </c>
      <c r="E78" s="1" t="s">
        <v>53</v>
      </c>
      <c r="F78" s="1" t="s">
        <v>501</v>
      </c>
      <c r="G78" s="1">
        <v>12000</v>
      </c>
      <c r="H78" s="1">
        <v>3871</v>
      </c>
      <c r="I78" s="1">
        <v>0</v>
      </c>
      <c r="J78" s="1">
        <v>0</v>
      </c>
      <c r="K78" s="1" t="s">
        <v>557</v>
      </c>
    </row>
    <row r="79" spans="1:11" x14ac:dyDescent="0.3">
      <c r="A79" s="1">
        <v>78</v>
      </c>
      <c r="B79" s="1">
        <v>10099</v>
      </c>
      <c r="C79" s="1" t="s">
        <v>212</v>
      </c>
      <c r="D79" s="1" t="s">
        <v>565</v>
      </c>
      <c r="E79" s="1" t="s">
        <v>53</v>
      </c>
      <c r="F79" s="1" t="str">
        <f>_xlfn.XLOOKUP(B79,'June 2025'!B:B,'June 2025'!F:F)</f>
        <v>Domestic</v>
      </c>
      <c r="G79" s="1">
        <v>11000</v>
      </c>
      <c r="H79" s="1">
        <v>9580</v>
      </c>
      <c r="I79" s="1">
        <v>0</v>
      </c>
      <c r="J79" s="1">
        <v>0</v>
      </c>
      <c r="K79" s="1" t="str">
        <f>_xlfn.XLOOKUP(B79,'June 2025'!B:B,'June 2025'!K:K)</f>
        <v>L-10</v>
      </c>
    </row>
    <row r="80" spans="1:11" x14ac:dyDescent="0.3">
      <c r="A80" s="1">
        <v>79</v>
      </c>
      <c r="B80" s="1">
        <v>10101</v>
      </c>
      <c r="C80" s="1" t="s">
        <v>215</v>
      </c>
      <c r="D80" s="1" t="s">
        <v>565</v>
      </c>
      <c r="E80" s="1" t="s">
        <v>35</v>
      </c>
      <c r="F80" s="1" t="str">
        <f>_xlfn.XLOOKUP(B80,'June 2025'!B:B,'June 2025'!F:F)</f>
        <v>Manufacturing</v>
      </c>
      <c r="G80" s="1">
        <v>11500</v>
      </c>
      <c r="H80" s="1">
        <v>7975</v>
      </c>
      <c r="I80" s="1">
        <v>0</v>
      </c>
      <c r="J80" s="1">
        <v>0</v>
      </c>
      <c r="K80" s="1" t="str">
        <f>_xlfn.XLOOKUP(B80,'June 2025'!B:B,'June 2025'!K:K)</f>
        <v>L-9</v>
      </c>
    </row>
    <row r="81" spans="1:11" x14ac:dyDescent="0.3">
      <c r="A81" s="1">
        <v>80</v>
      </c>
      <c r="B81" s="1">
        <v>54</v>
      </c>
      <c r="C81" s="1" t="s">
        <v>217</v>
      </c>
      <c r="D81" s="1" t="s">
        <v>564</v>
      </c>
      <c r="E81" s="1" t="s">
        <v>67</v>
      </c>
      <c r="F81" s="1" t="str">
        <f>_xlfn.XLOOKUP(B81,'June 2025'!B:B,'June 2025'!F:F)</f>
        <v>Manufacturing</v>
      </c>
      <c r="G81" s="1">
        <v>30000</v>
      </c>
      <c r="H81" s="1">
        <v>16109</v>
      </c>
      <c r="I81" s="1">
        <v>0</v>
      </c>
      <c r="J81" s="1">
        <v>0</v>
      </c>
      <c r="K81" s="1" t="str">
        <f>_xlfn.XLOOKUP(B81,'June 2025'!B:B,'June 2025'!K:K)</f>
        <v>L-9</v>
      </c>
    </row>
    <row r="82" spans="1:11" x14ac:dyDescent="0.3">
      <c r="A82" s="1">
        <v>81</v>
      </c>
      <c r="B82" s="1">
        <v>55</v>
      </c>
      <c r="C82" s="1" t="s">
        <v>218</v>
      </c>
      <c r="D82" s="1" t="s">
        <v>564</v>
      </c>
      <c r="E82" s="1" t="s">
        <v>67</v>
      </c>
      <c r="F82" s="1" t="str">
        <f>_xlfn.XLOOKUP(B82,'June 2025'!B:B,'June 2025'!F:F)</f>
        <v>Manufacturing</v>
      </c>
      <c r="G82" s="1">
        <v>30000</v>
      </c>
      <c r="H82" s="1">
        <v>14135</v>
      </c>
      <c r="I82" s="1">
        <v>0</v>
      </c>
      <c r="J82" s="1">
        <v>0</v>
      </c>
      <c r="K82" s="1" t="str">
        <f>_xlfn.XLOOKUP(B82,'June 2025'!B:B,'June 2025'!K:K)</f>
        <v>L-9</v>
      </c>
    </row>
    <row r="83" spans="1:11" x14ac:dyDescent="0.3">
      <c r="A83" s="1">
        <v>82</v>
      </c>
      <c r="B83" s="1">
        <v>56</v>
      </c>
      <c r="C83" s="1" t="s">
        <v>219</v>
      </c>
      <c r="D83" s="1" t="s">
        <v>564</v>
      </c>
      <c r="E83" s="1" t="s">
        <v>67</v>
      </c>
      <c r="F83" s="1" t="str">
        <f>_xlfn.XLOOKUP(B83,'June 2025'!B:B,'June 2025'!F:F)</f>
        <v>Manufacturing</v>
      </c>
      <c r="G83" s="1">
        <v>30000</v>
      </c>
      <c r="H83" s="1">
        <v>20609</v>
      </c>
      <c r="I83" s="1">
        <v>1950</v>
      </c>
      <c r="J83" s="1">
        <v>0</v>
      </c>
      <c r="K83" s="1" t="str">
        <f>_xlfn.XLOOKUP(B83,'June 2025'!B:B,'June 2025'!K:K)</f>
        <v>L-9</v>
      </c>
    </row>
    <row r="84" spans="1:11" x14ac:dyDescent="0.3">
      <c r="A84" s="1">
        <v>83</v>
      </c>
      <c r="B84" s="1">
        <v>57</v>
      </c>
      <c r="C84" s="1" t="s">
        <v>220</v>
      </c>
      <c r="D84" s="1" t="s">
        <v>564</v>
      </c>
      <c r="E84" s="1" t="s">
        <v>42</v>
      </c>
      <c r="F84" s="1" t="str">
        <f>_xlfn.XLOOKUP(B84,'June 2025'!B:B,'June 2025'!F:F)</f>
        <v>Overseas</v>
      </c>
      <c r="G84" s="1">
        <v>48600</v>
      </c>
      <c r="H84" s="1">
        <v>30571</v>
      </c>
      <c r="I84" s="1">
        <v>0</v>
      </c>
      <c r="J84" s="1">
        <v>0</v>
      </c>
      <c r="K84" s="1" t="str">
        <f>_xlfn.XLOOKUP(B84,'June 2025'!B:B,'June 2025'!K:K)</f>
        <v>L-6</v>
      </c>
    </row>
    <row r="85" spans="1:11" x14ac:dyDescent="0.3">
      <c r="A85" s="1">
        <v>84</v>
      </c>
      <c r="B85" s="1">
        <v>10103</v>
      </c>
      <c r="C85" s="1" t="s">
        <v>222</v>
      </c>
      <c r="D85" s="1" t="s">
        <v>565</v>
      </c>
      <c r="E85" s="1" t="s">
        <v>35</v>
      </c>
      <c r="F85" s="1" t="str">
        <f>_xlfn.XLOOKUP(B85,'June 2025'!B:B,'June 2025'!F:F)</f>
        <v>Manufacturing</v>
      </c>
      <c r="G85" s="1">
        <v>12500</v>
      </c>
      <c r="H85" s="1">
        <v>9677</v>
      </c>
      <c r="I85" s="1">
        <v>0</v>
      </c>
      <c r="J85" s="1">
        <v>0</v>
      </c>
      <c r="K85" s="1" t="str">
        <f>_xlfn.XLOOKUP(B85,'June 2025'!B:B,'June 2025'!K:K)</f>
        <v>L-9</v>
      </c>
    </row>
    <row r="86" spans="1:11" x14ac:dyDescent="0.3">
      <c r="A86" s="1">
        <v>85</v>
      </c>
      <c r="B86" s="1">
        <v>10104</v>
      </c>
      <c r="C86" s="1" t="s">
        <v>223</v>
      </c>
      <c r="D86" s="1" t="s">
        <v>565</v>
      </c>
      <c r="E86" s="1" t="s">
        <v>35</v>
      </c>
      <c r="F86" s="1" t="str">
        <f>_xlfn.XLOOKUP(B86,'June 2025'!B:B,'June 2025'!F:F)</f>
        <v>Manufacturing</v>
      </c>
      <c r="G86" s="1">
        <v>13500</v>
      </c>
      <c r="H86" s="1">
        <v>12193</v>
      </c>
      <c r="I86" s="1">
        <v>0</v>
      </c>
      <c r="J86" s="1">
        <v>0</v>
      </c>
      <c r="K86" s="1" t="str">
        <f>_xlfn.XLOOKUP(B86,'June 2025'!B:B,'June 2025'!K:K)</f>
        <v>L-9</v>
      </c>
    </row>
    <row r="87" spans="1:11" x14ac:dyDescent="0.3">
      <c r="A87" s="1">
        <v>86</v>
      </c>
      <c r="B87" s="1">
        <v>10107</v>
      </c>
      <c r="C87" s="1" t="s">
        <v>225</v>
      </c>
      <c r="D87" s="1" t="s">
        <v>565</v>
      </c>
      <c r="E87" s="1" t="s">
        <v>12</v>
      </c>
      <c r="F87" s="1" t="s">
        <v>501</v>
      </c>
      <c r="G87" s="1">
        <v>13000</v>
      </c>
      <c r="H87" s="1">
        <v>11323</v>
      </c>
      <c r="I87" s="1">
        <v>0</v>
      </c>
      <c r="J87" s="1">
        <v>0</v>
      </c>
      <c r="K87" s="1" t="s">
        <v>556</v>
      </c>
    </row>
    <row r="88" spans="1:11" x14ac:dyDescent="0.3">
      <c r="A88" s="1">
        <v>87</v>
      </c>
      <c r="B88" s="1">
        <v>10109</v>
      </c>
      <c r="C88" s="1" t="s">
        <v>227</v>
      </c>
      <c r="D88" s="1" t="s">
        <v>565</v>
      </c>
      <c r="E88" s="1" t="s">
        <v>35</v>
      </c>
      <c r="F88" s="1" t="str">
        <f>_xlfn.XLOOKUP(B88,'June 2025'!B:B,'June 2025'!F:F)</f>
        <v>Manufacturing</v>
      </c>
      <c r="G88" s="1">
        <v>11500</v>
      </c>
      <c r="H88" s="1">
        <v>11500</v>
      </c>
      <c r="I88" s="1">
        <v>0</v>
      </c>
      <c r="J88" s="1">
        <v>0</v>
      </c>
      <c r="K88" s="1" t="str">
        <f>_xlfn.XLOOKUP(B88,'June 2025'!B:B,'June 2025'!K:K)</f>
        <v>L-9</v>
      </c>
    </row>
    <row r="89" spans="1:11" x14ac:dyDescent="0.3">
      <c r="A89" s="1">
        <v>88</v>
      </c>
      <c r="B89" s="1">
        <v>10110</v>
      </c>
      <c r="C89" s="1" t="s">
        <v>228</v>
      </c>
      <c r="D89" s="1" t="s">
        <v>565</v>
      </c>
      <c r="E89" s="1" t="s">
        <v>61</v>
      </c>
      <c r="F89" s="1" t="str">
        <f>_xlfn.XLOOKUP(B89,'June 2025'!B:B,'June 2025'!F:F)</f>
        <v>Manufacturing</v>
      </c>
      <c r="G89" s="1">
        <v>11500</v>
      </c>
      <c r="H89" s="1">
        <v>9460</v>
      </c>
      <c r="I89" s="1">
        <v>0</v>
      </c>
      <c r="J89" s="1">
        <v>0</v>
      </c>
      <c r="K89" s="1" t="str">
        <f>_xlfn.XLOOKUP(B89,'June 2025'!B:B,'June 2025'!K:K)</f>
        <v>L-9</v>
      </c>
    </row>
    <row r="90" spans="1:11" x14ac:dyDescent="0.3">
      <c r="A90" s="1">
        <v>89</v>
      </c>
      <c r="B90" s="1">
        <v>10111</v>
      </c>
      <c r="C90" s="1" t="s">
        <v>229</v>
      </c>
      <c r="D90" s="1" t="s">
        <v>565</v>
      </c>
      <c r="E90" s="1" t="s">
        <v>61</v>
      </c>
      <c r="F90" s="1" t="str">
        <f>_xlfn.XLOOKUP(B90,'June 2025'!B:B,'June 2025'!F:F)</f>
        <v>Manufacturing</v>
      </c>
      <c r="G90" s="1">
        <v>12500</v>
      </c>
      <c r="H90" s="1">
        <v>7662</v>
      </c>
      <c r="I90" s="1">
        <v>0</v>
      </c>
      <c r="J90" s="1">
        <v>0</v>
      </c>
      <c r="K90" s="1" t="str">
        <f>_xlfn.XLOOKUP(B90,'June 2025'!B:B,'June 2025'!K:K)</f>
        <v>L-9</v>
      </c>
    </row>
    <row r="91" spans="1:11" x14ac:dyDescent="0.3">
      <c r="A91" s="1">
        <v>90</v>
      </c>
      <c r="B91" s="1">
        <v>10112</v>
      </c>
      <c r="C91" s="1" t="s">
        <v>230</v>
      </c>
      <c r="D91" s="1" t="s">
        <v>565</v>
      </c>
      <c r="E91" s="1" t="s">
        <v>35</v>
      </c>
      <c r="F91" s="1" t="str">
        <f>_xlfn.XLOOKUP(B91,'June 2025'!B:B,'June 2025'!F:F)</f>
        <v>Manufacturing</v>
      </c>
      <c r="G91" s="1">
        <v>11000</v>
      </c>
      <c r="H91" s="1">
        <v>11000</v>
      </c>
      <c r="I91" s="1">
        <v>0</v>
      </c>
      <c r="J91" s="1">
        <v>0</v>
      </c>
      <c r="K91" s="1" t="str">
        <f>_xlfn.XLOOKUP(B91,'June 2025'!B:B,'June 2025'!K:K)</f>
        <v>L-9</v>
      </c>
    </row>
    <row r="92" spans="1:11" x14ac:dyDescent="0.3">
      <c r="A92" s="1">
        <v>91</v>
      </c>
      <c r="B92" s="1">
        <v>10114</v>
      </c>
      <c r="C92" s="1" t="s">
        <v>232</v>
      </c>
      <c r="D92" s="1" t="s">
        <v>565</v>
      </c>
      <c r="E92" s="1" t="s">
        <v>10</v>
      </c>
      <c r="F92" s="1" t="s">
        <v>501</v>
      </c>
      <c r="G92" s="1">
        <v>14800</v>
      </c>
      <c r="H92" s="1">
        <v>12890</v>
      </c>
      <c r="I92" s="1">
        <v>0</v>
      </c>
      <c r="J92" s="1">
        <v>0</v>
      </c>
      <c r="K92" s="1" t="s">
        <v>555</v>
      </c>
    </row>
    <row r="93" spans="1:11" x14ac:dyDescent="0.3">
      <c r="A93" s="1">
        <v>92</v>
      </c>
      <c r="B93" s="1">
        <v>59</v>
      </c>
      <c r="C93" s="1" t="s">
        <v>233</v>
      </c>
      <c r="D93" s="1" t="s">
        <v>564</v>
      </c>
      <c r="E93" s="1" t="s">
        <v>42</v>
      </c>
      <c r="F93" s="1" t="str">
        <f>_xlfn.XLOOKUP(B93,'June 2025'!B:B,'June 2025'!F:F)</f>
        <v>Manufacturing</v>
      </c>
      <c r="G93" s="1">
        <v>50000</v>
      </c>
      <c r="H93" s="1">
        <v>48387</v>
      </c>
      <c r="I93" s="1">
        <v>0</v>
      </c>
      <c r="J93" s="1">
        <v>0</v>
      </c>
      <c r="K93" s="1" t="str">
        <f>_xlfn.XLOOKUP(B93,'June 2025'!B:B,'June 2025'!K:K)</f>
        <v>L-5</v>
      </c>
    </row>
    <row r="94" spans="1:11" x14ac:dyDescent="0.3">
      <c r="A94" s="1">
        <v>93</v>
      </c>
      <c r="B94" s="1">
        <v>10115</v>
      </c>
      <c r="C94" s="1" t="s">
        <v>236</v>
      </c>
      <c r="D94" s="1" t="s">
        <v>565</v>
      </c>
      <c r="E94" s="1" t="s">
        <v>35</v>
      </c>
      <c r="F94" s="1" t="str">
        <f>_xlfn.XLOOKUP(B94,'June 2025'!B:B,'June 2025'!F:F)</f>
        <v>Manufacturing</v>
      </c>
      <c r="G94" s="1">
        <v>12500</v>
      </c>
      <c r="H94" s="1">
        <v>10685</v>
      </c>
      <c r="I94" s="1">
        <v>0</v>
      </c>
      <c r="J94" s="1">
        <v>0</v>
      </c>
      <c r="K94" s="1" t="str">
        <f>_xlfn.XLOOKUP(B94,'June 2025'!B:B,'June 2025'!K:K)</f>
        <v>L-9</v>
      </c>
    </row>
    <row r="95" spans="1:11" x14ac:dyDescent="0.3">
      <c r="A95" s="1">
        <v>94</v>
      </c>
      <c r="B95" s="1">
        <v>10117</v>
      </c>
      <c r="C95" s="1" t="s">
        <v>238</v>
      </c>
      <c r="D95" s="1" t="s">
        <v>565</v>
      </c>
      <c r="E95" s="1" t="s">
        <v>35</v>
      </c>
      <c r="F95" s="1" t="str">
        <f>_xlfn.XLOOKUP(B95,'June 2025'!B:B,'June 2025'!F:F)</f>
        <v>Manufacturing</v>
      </c>
      <c r="G95" s="1">
        <v>11500</v>
      </c>
      <c r="H95" s="1">
        <v>4452</v>
      </c>
      <c r="I95" s="1">
        <v>0</v>
      </c>
      <c r="J95" s="1">
        <v>0</v>
      </c>
      <c r="K95" s="1" t="str">
        <f>_xlfn.XLOOKUP(B95,'June 2025'!B:B,'June 2025'!K:K)</f>
        <v>L-9</v>
      </c>
    </row>
    <row r="96" spans="1:11" x14ac:dyDescent="0.3">
      <c r="A96" s="1">
        <v>95</v>
      </c>
      <c r="B96" s="1">
        <v>10121</v>
      </c>
      <c r="C96" s="1" t="s">
        <v>241</v>
      </c>
      <c r="D96" s="1" t="s">
        <v>565</v>
      </c>
      <c r="E96" s="1" t="s">
        <v>53</v>
      </c>
      <c r="F96" s="1" t="str">
        <f>_xlfn.XLOOKUP(B96,'June 2025'!B:B,'June 2025'!F:F)</f>
        <v>Domestic</v>
      </c>
      <c r="G96" s="1">
        <v>11500</v>
      </c>
      <c r="H96" s="1">
        <v>10758</v>
      </c>
      <c r="I96" s="1">
        <v>0</v>
      </c>
      <c r="J96" s="1">
        <v>0</v>
      </c>
      <c r="K96" s="1" t="str">
        <f>_xlfn.XLOOKUP(B96,'June 2025'!B:B,'June 2025'!K:K)</f>
        <v>L-10</v>
      </c>
    </row>
    <row r="97" spans="1:11" x14ac:dyDescent="0.3">
      <c r="A97" s="1">
        <v>96</v>
      </c>
      <c r="B97" s="1">
        <v>10123</v>
      </c>
      <c r="C97" s="1" t="s">
        <v>243</v>
      </c>
      <c r="D97" s="1" t="s">
        <v>565</v>
      </c>
      <c r="E97" s="1" t="s">
        <v>53</v>
      </c>
      <c r="F97" s="1" t="str">
        <f>_xlfn.XLOOKUP(B97,'June 2025'!B:B,'June 2025'!F:F)</f>
        <v>Manufacturing</v>
      </c>
      <c r="G97" s="1">
        <v>12000</v>
      </c>
      <c r="H97" s="1">
        <v>8129</v>
      </c>
      <c r="I97" s="1">
        <v>0</v>
      </c>
      <c r="J97" s="1">
        <v>0</v>
      </c>
      <c r="K97" s="1" t="str">
        <f>_xlfn.XLOOKUP(B97,'June 2025'!B:B,'June 2025'!K:K)</f>
        <v>L-9</v>
      </c>
    </row>
    <row r="98" spans="1:11" x14ac:dyDescent="0.3">
      <c r="A98" s="1">
        <v>97</v>
      </c>
      <c r="B98" s="1">
        <v>10124</v>
      </c>
      <c r="C98" s="1" t="s">
        <v>244</v>
      </c>
      <c r="D98" s="1" t="s">
        <v>565</v>
      </c>
      <c r="E98" s="1" t="s">
        <v>35</v>
      </c>
      <c r="F98" s="1" t="str">
        <f>_xlfn.XLOOKUP(B98,'June 2025'!B:B,'June 2025'!F:F)</f>
        <v>Manufacturing</v>
      </c>
      <c r="G98" s="1">
        <v>14000</v>
      </c>
      <c r="H98" s="1">
        <v>12193</v>
      </c>
      <c r="I98" s="1">
        <v>0</v>
      </c>
      <c r="J98" s="1">
        <v>0</v>
      </c>
      <c r="K98" s="1" t="str">
        <f>_xlfn.XLOOKUP(B98,'June 2025'!B:B,'June 2025'!K:K)</f>
        <v>L-9</v>
      </c>
    </row>
    <row r="99" spans="1:11" x14ac:dyDescent="0.3">
      <c r="A99" s="1">
        <v>98</v>
      </c>
      <c r="B99" s="1">
        <v>10125</v>
      </c>
      <c r="C99" s="1" t="s">
        <v>245</v>
      </c>
      <c r="D99" s="1" t="s">
        <v>565</v>
      </c>
      <c r="E99" s="1" t="s">
        <v>53</v>
      </c>
      <c r="F99" s="1" t="str">
        <f>_xlfn.XLOOKUP(B99,'June 2025'!B:B,'June 2025'!F:F)</f>
        <v>Overseas</v>
      </c>
      <c r="G99" s="1">
        <v>14500</v>
      </c>
      <c r="H99" s="1">
        <v>12863</v>
      </c>
      <c r="I99" s="1">
        <v>0</v>
      </c>
      <c r="J99" s="1">
        <v>0</v>
      </c>
      <c r="K99" s="1" t="str">
        <f>_xlfn.XLOOKUP(B99,'June 2025'!B:B,'June 2025'!K:K)</f>
        <v>L-10</v>
      </c>
    </row>
    <row r="100" spans="1:11" x14ac:dyDescent="0.3">
      <c r="A100" s="1">
        <v>99</v>
      </c>
      <c r="B100" s="1">
        <v>10127</v>
      </c>
      <c r="C100" s="1" t="s">
        <v>247</v>
      </c>
      <c r="D100" s="1" t="s">
        <v>565</v>
      </c>
      <c r="E100" s="1" t="s">
        <v>35</v>
      </c>
      <c r="F100" s="1" t="str">
        <f>_xlfn.XLOOKUP(B100,'June 2025'!B:B,'June 2025'!F:F)</f>
        <v>Manufacturing</v>
      </c>
      <c r="G100" s="1">
        <v>14000</v>
      </c>
      <c r="H100" s="1">
        <v>13548</v>
      </c>
      <c r="I100" s="1">
        <v>0</v>
      </c>
      <c r="J100" s="1">
        <v>0</v>
      </c>
      <c r="K100" s="1" t="str">
        <f>_xlfn.XLOOKUP(B100,'June 2025'!B:B,'June 2025'!K:K)</f>
        <v>L-9</v>
      </c>
    </row>
    <row r="101" spans="1:11" x14ac:dyDescent="0.3">
      <c r="A101" s="1">
        <v>100</v>
      </c>
      <c r="B101" s="1">
        <v>10128</v>
      </c>
      <c r="C101" s="1" t="s">
        <v>248</v>
      </c>
      <c r="D101" s="1" t="s">
        <v>565</v>
      </c>
      <c r="E101" s="1" t="s">
        <v>35</v>
      </c>
      <c r="F101" s="1" t="str">
        <f>_xlfn.XLOOKUP(B101,'June 2025'!B:B,'June 2025'!F:F)</f>
        <v>Manufacturing</v>
      </c>
      <c r="G101" s="1">
        <v>14000</v>
      </c>
      <c r="H101" s="1">
        <v>9935</v>
      </c>
      <c r="I101" s="1">
        <v>0</v>
      </c>
      <c r="J101" s="1">
        <v>0</v>
      </c>
      <c r="K101" s="1" t="str">
        <f>_xlfn.XLOOKUP(B101,'June 2025'!B:B,'June 2025'!K:K)</f>
        <v>L-9</v>
      </c>
    </row>
    <row r="102" spans="1:11" x14ac:dyDescent="0.3">
      <c r="A102" s="1">
        <v>101</v>
      </c>
      <c r="B102" s="1">
        <v>10130</v>
      </c>
      <c r="C102" s="1" t="s">
        <v>250</v>
      </c>
      <c r="D102" s="1" t="s">
        <v>565</v>
      </c>
      <c r="E102" s="1" t="s">
        <v>35</v>
      </c>
      <c r="F102" s="1" t="str">
        <f>_xlfn.XLOOKUP(B102,'June 2025'!B:B,'June 2025'!F:F)</f>
        <v>Manufacturing</v>
      </c>
      <c r="G102" s="1">
        <v>13000</v>
      </c>
      <c r="H102" s="1">
        <v>11323</v>
      </c>
      <c r="I102" s="1">
        <v>0</v>
      </c>
      <c r="J102" s="1">
        <v>0</v>
      </c>
      <c r="K102" s="1" t="str">
        <f>_xlfn.XLOOKUP(B102,'June 2025'!B:B,'June 2025'!K:K)</f>
        <v>L-9</v>
      </c>
    </row>
    <row r="103" spans="1:11" x14ac:dyDescent="0.3">
      <c r="A103" s="1">
        <v>102</v>
      </c>
      <c r="B103" s="1">
        <v>10131</v>
      </c>
      <c r="C103" s="1" t="s">
        <v>253</v>
      </c>
      <c r="D103" s="1" t="s">
        <v>565</v>
      </c>
      <c r="E103" s="1" t="s">
        <v>53</v>
      </c>
      <c r="F103" s="1" t="str">
        <f>_xlfn.XLOOKUP(B103,'June 2025'!B:B,'June 2025'!F:F)</f>
        <v>Domestic</v>
      </c>
      <c r="G103" s="1">
        <v>11000</v>
      </c>
      <c r="H103" s="1">
        <v>9225</v>
      </c>
      <c r="I103" s="1">
        <v>0</v>
      </c>
      <c r="J103" s="1">
        <v>0</v>
      </c>
      <c r="K103" s="1" t="str">
        <f>_xlfn.XLOOKUP(B103,'June 2025'!B:B,'June 2025'!K:K)</f>
        <v>L-10</v>
      </c>
    </row>
    <row r="104" spans="1:11" x14ac:dyDescent="0.3">
      <c r="A104" s="1">
        <v>103</v>
      </c>
      <c r="B104" s="1">
        <v>10132</v>
      </c>
      <c r="C104" s="1" t="s">
        <v>254</v>
      </c>
      <c r="D104" s="1" t="s">
        <v>565</v>
      </c>
      <c r="E104" s="1" t="s">
        <v>35</v>
      </c>
      <c r="F104" s="1" t="str">
        <f>_xlfn.XLOOKUP(B104,'June 2025'!B:B,'June 2025'!F:F)</f>
        <v>Manufacturing</v>
      </c>
      <c r="G104" s="1">
        <v>13000</v>
      </c>
      <c r="H104" s="1">
        <v>10903</v>
      </c>
      <c r="I104" s="1">
        <v>0</v>
      </c>
      <c r="J104" s="1">
        <v>0</v>
      </c>
      <c r="K104" s="1" t="str">
        <f>_xlfn.XLOOKUP(B104,'June 2025'!B:B,'June 2025'!K:K)</f>
        <v>L-9</v>
      </c>
    </row>
    <row r="105" spans="1:11" x14ac:dyDescent="0.3">
      <c r="A105" s="1">
        <v>104</v>
      </c>
      <c r="B105" s="1">
        <v>10135</v>
      </c>
      <c r="C105" s="1" t="s">
        <v>256</v>
      </c>
      <c r="D105" s="1" t="s">
        <v>565</v>
      </c>
      <c r="E105" s="1" t="s">
        <v>53</v>
      </c>
      <c r="F105" s="1" t="str">
        <f>_xlfn.XLOOKUP(B105,'June 2025'!B:B,'June 2025'!F:F)</f>
        <v>Manufacturing</v>
      </c>
      <c r="G105" s="1">
        <v>15500</v>
      </c>
      <c r="H105" s="1">
        <v>12000</v>
      </c>
      <c r="I105" s="1">
        <v>0</v>
      </c>
      <c r="J105" s="1">
        <v>0</v>
      </c>
      <c r="K105" s="1" t="str">
        <f>_xlfn.XLOOKUP(B105,'June 2025'!B:B,'June 2025'!K:K)</f>
        <v>L-10</v>
      </c>
    </row>
    <row r="106" spans="1:11" x14ac:dyDescent="0.3">
      <c r="A106" s="1">
        <v>105</v>
      </c>
      <c r="B106" s="1">
        <v>10137</v>
      </c>
      <c r="C106" s="1" t="s">
        <v>258</v>
      </c>
      <c r="D106" s="1" t="s">
        <v>565</v>
      </c>
      <c r="E106" s="1" t="s">
        <v>53</v>
      </c>
      <c r="F106" s="1" t="str">
        <f>_xlfn.XLOOKUP(B106,'June 2025'!B:B,'June 2025'!F:F)</f>
        <v>Domestic</v>
      </c>
      <c r="G106" s="1">
        <v>11000</v>
      </c>
      <c r="H106" s="1">
        <v>10290</v>
      </c>
      <c r="I106" s="1">
        <v>0</v>
      </c>
      <c r="J106" s="1">
        <v>0</v>
      </c>
      <c r="K106" s="1" t="str">
        <f>_xlfn.XLOOKUP(B106,'June 2025'!B:B,'June 2025'!K:K)</f>
        <v>L-10</v>
      </c>
    </row>
    <row r="107" spans="1:11" x14ac:dyDescent="0.3">
      <c r="A107" s="1">
        <v>106</v>
      </c>
      <c r="B107" s="1">
        <v>10139</v>
      </c>
      <c r="C107" s="1" t="s">
        <v>260</v>
      </c>
      <c r="D107" s="1" t="s">
        <v>565</v>
      </c>
      <c r="E107" s="1" t="s">
        <v>53</v>
      </c>
      <c r="F107" s="1" t="str">
        <f>_xlfn.XLOOKUP(B107,'June 2025'!B:B,'June 2025'!F:F)</f>
        <v>Manufacturing</v>
      </c>
      <c r="G107" s="1">
        <v>15000</v>
      </c>
      <c r="H107" s="1">
        <v>10162</v>
      </c>
      <c r="I107" s="1">
        <v>0</v>
      </c>
      <c r="J107" s="1">
        <v>0</v>
      </c>
      <c r="K107" s="1" t="str">
        <f>_xlfn.XLOOKUP(B107,'June 2025'!B:B,'June 2025'!K:K)</f>
        <v>L-9</v>
      </c>
    </row>
    <row r="108" spans="1:11" x14ac:dyDescent="0.3">
      <c r="A108" s="1">
        <v>107</v>
      </c>
      <c r="B108" s="1">
        <v>10140</v>
      </c>
      <c r="C108" s="1" t="s">
        <v>261</v>
      </c>
      <c r="D108" s="1" t="s">
        <v>565</v>
      </c>
      <c r="E108" s="1" t="s">
        <v>35</v>
      </c>
      <c r="F108" s="1" t="str">
        <f>_xlfn.XLOOKUP(B108,'June 2025'!B:B,'June 2025'!F:F)</f>
        <v>Manufacturing</v>
      </c>
      <c r="G108" s="1">
        <v>12500</v>
      </c>
      <c r="H108" s="1">
        <v>7258</v>
      </c>
      <c r="I108" s="1">
        <v>0</v>
      </c>
      <c r="J108" s="1">
        <v>0</v>
      </c>
      <c r="K108" s="1" t="str">
        <f>_xlfn.XLOOKUP(B108,'June 2025'!B:B,'June 2025'!K:K)</f>
        <v>L-9</v>
      </c>
    </row>
    <row r="109" spans="1:11" x14ac:dyDescent="0.3">
      <c r="A109" s="1">
        <v>108</v>
      </c>
      <c r="B109" s="1">
        <v>10142</v>
      </c>
      <c r="C109" s="1" t="s">
        <v>265</v>
      </c>
      <c r="D109" s="1" t="s">
        <v>565</v>
      </c>
      <c r="E109" s="1" t="s">
        <v>35</v>
      </c>
      <c r="F109" s="1" t="str">
        <f>_xlfn.XLOOKUP(B109,'June 2025'!B:B,'June 2025'!F:F)</f>
        <v>Manufacturing</v>
      </c>
      <c r="G109" s="1">
        <v>14000</v>
      </c>
      <c r="H109" s="1">
        <v>13097</v>
      </c>
      <c r="I109" s="1">
        <v>0</v>
      </c>
      <c r="J109" s="1">
        <v>0</v>
      </c>
      <c r="K109" s="1" t="str">
        <f>_xlfn.XLOOKUP(B109,'June 2025'!B:B,'June 2025'!K:K)</f>
        <v>L-9</v>
      </c>
    </row>
    <row r="110" spans="1:11" x14ac:dyDescent="0.3">
      <c r="A110" s="1">
        <v>109</v>
      </c>
      <c r="B110" s="1">
        <v>10143</v>
      </c>
      <c r="C110" s="1" t="s">
        <v>266</v>
      </c>
      <c r="D110" s="1" t="s">
        <v>565</v>
      </c>
      <c r="E110" s="1" t="s">
        <v>267</v>
      </c>
      <c r="F110" s="1" t="str">
        <f>_xlfn.XLOOKUP(B110,'June 2025'!B:B,'June 2025'!F:F)</f>
        <v>Manufacturing</v>
      </c>
      <c r="G110" s="1">
        <v>14000</v>
      </c>
      <c r="H110" s="1">
        <v>10387</v>
      </c>
      <c r="I110" s="1">
        <v>0</v>
      </c>
      <c r="J110" s="1">
        <v>0</v>
      </c>
      <c r="K110" s="1" t="str">
        <f>_xlfn.XLOOKUP(B110,'June 2025'!B:B,'June 2025'!K:K)</f>
        <v>L-9</v>
      </c>
    </row>
    <row r="111" spans="1:11" x14ac:dyDescent="0.3">
      <c r="A111" s="1">
        <v>110</v>
      </c>
      <c r="B111" s="1">
        <v>10146</v>
      </c>
      <c r="C111" s="1" t="s">
        <v>270</v>
      </c>
      <c r="D111" s="1" t="s">
        <v>565</v>
      </c>
      <c r="E111" s="1" t="s">
        <v>61</v>
      </c>
      <c r="F111" s="1" t="str">
        <f>_xlfn.XLOOKUP(B111,'June 2025'!B:B,'June 2025'!F:F)</f>
        <v>Manufacturing</v>
      </c>
      <c r="G111" s="1">
        <v>13000</v>
      </c>
      <c r="H111" s="1">
        <v>12580</v>
      </c>
      <c r="I111" s="1">
        <v>0</v>
      </c>
      <c r="J111" s="1">
        <v>0</v>
      </c>
      <c r="K111" s="1" t="str">
        <f>_xlfn.XLOOKUP(B111,'June 2025'!B:B,'June 2025'!K:K)</f>
        <v>L-9</v>
      </c>
    </row>
    <row r="112" spans="1:11" x14ac:dyDescent="0.3">
      <c r="A112" s="1">
        <v>111</v>
      </c>
      <c r="B112" s="1">
        <v>10148</v>
      </c>
      <c r="C112" s="1" t="s">
        <v>272</v>
      </c>
      <c r="D112" s="1" t="s">
        <v>565</v>
      </c>
      <c r="E112" s="1" t="s">
        <v>55</v>
      </c>
      <c r="F112" s="1" t="s">
        <v>504</v>
      </c>
      <c r="G112" s="1">
        <v>13000</v>
      </c>
      <c r="H112" s="1">
        <v>12371</v>
      </c>
      <c r="I112" s="1">
        <v>0</v>
      </c>
      <c r="J112" s="1">
        <v>0</v>
      </c>
      <c r="K112" s="1" t="s">
        <v>554</v>
      </c>
    </row>
    <row r="113" spans="1:11" x14ac:dyDescent="0.3">
      <c r="A113" s="1">
        <v>112</v>
      </c>
      <c r="B113" s="1">
        <v>10151</v>
      </c>
      <c r="C113" s="1" t="s">
        <v>275</v>
      </c>
      <c r="D113" s="1" t="s">
        <v>565</v>
      </c>
      <c r="E113" s="1" t="s">
        <v>35</v>
      </c>
      <c r="F113" s="1" t="str">
        <f>_xlfn.XLOOKUP(B113,'June 2025'!B:B,'June 2025'!F:F)</f>
        <v>Manufacturing</v>
      </c>
      <c r="G113" s="1">
        <v>12000</v>
      </c>
      <c r="H113" s="1">
        <v>9290</v>
      </c>
      <c r="I113" s="1">
        <v>0</v>
      </c>
      <c r="J113" s="1">
        <v>0</v>
      </c>
      <c r="K113" s="1" t="str">
        <f>_xlfn.XLOOKUP(B113,'June 2025'!B:B,'June 2025'!K:K)</f>
        <v>L-9</v>
      </c>
    </row>
    <row r="114" spans="1:11" x14ac:dyDescent="0.3">
      <c r="A114" s="1">
        <v>113</v>
      </c>
      <c r="B114" s="1">
        <v>10152</v>
      </c>
      <c r="C114" s="1" t="s">
        <v>276</v>
      </c>
      <c r="D114" s="1" t="s">
        <v>565</v>
      </c>
      <c r="E114" s="1" t="s">
        <v>35</v>
      </c>
      <c r="F114" s="1" t="str">
        <f>_xlfn.XLOOKUP(B114,'June 2025'!B:B,'June 2025'!F:F)</f>
        <v>Manufacturing</v>
      </c>
      <c r="G114" s="1">
        <v>12000</v>
      </c>
      <c r="H114" s="1">
        <v>6580</v>
      </c>
      <c r="I114" s="1">
        <v>0</v>
      </c>
      <c r="J114" s="1">
        <v>0</v>
      </c>
      <c r="K114" s="1" t="str">
        <f>_xlfn.XLOOKUP(B114,'June 2025'!B:B,'June 2025'!K:K)</f>
        <v>L-9</v>
      </c>
    </row>
    <row r="115" spans="1:11" x14ac:dyDescent="0.3">
      <c r="A115" s="1">
        <v>114</v>
      </c>
      <c r="B115" s="1">
        <v>10153</v>
      </c>
      <c r="C115" s="1" t="s">
        <v>277</v>
      </c>
      <c r="D115" s="1" t="s">
        <v>565</v>
      </c>
      <c r="E115" s="1" t="s">
        <v>53</v>
      </c>
      <c r="F115" s="1" t="str">
        <f>_xlfn.XLOOKUP(B115,'June 2025'!B:B,'June 2025'!F:F)</f>
        <v>Manufacturing</v>
      </c>
      <c r="G115" s="1">
        <v>14000</v>
      </c>
      <c r="H115" s="1">
        <v>13323</v>
      </c>
      <c r="I115" s="1">
        <v>0</v>
      </c>
      <c r="J115" s="1">
        <v>0</v>
      </c>
      <c r="K115" s="1" t="str">
        <f>_xlfn.XLOOKUP(B115,'June 2025'!B:B,'June 2025'!K:K)</f>
        <v>L-10</v>
      </c>
    </row>
    <row r="116" spans="1:11" x14ac:dyDescent="0.3">
      <c r="A116" s="1">
        <v>115</v>
      </c>
      <c r="B116" s="1">
        <v>62</v>
      </c>
      <c r="C116" s="1" t="s">
        <v>281</v>
      </c>
      <c r="D116" s="1" t="s">
        <v>564</v>
      </c>
      <c r="E116" s="1" t="s">
        <v>67</v>
      </c>
      <c r="F116" s="1" t="str">
        <f>_xlfn.XLOOKUP(B116,'June 2025'!B:B,'June 2025'!F:F)</f>
        <v>Manufacturing</v>
      </c>
      <c r="G116" s="1">
        <v>30000</v>
      </c>
      <c r="H116" s="1">
        <v>16846</v>
      </c>
      <c r="I116" s="1">
        <v>1950</v>
      </c>
      <c r="J116" s="1">
        <v>0</v>
      </c>
      <c r="K116" s="1" t="str">
        <f>_xlfn.XLOOKUP(B116,'June 2025'!B:B,'June 2025'!K:K)</f>
        <v>L-9</v>
      </c>
    </row>
    <row r="117" spans="1:11" x14ac:dyDescent="0.3">
      <c r="A117" s="1">
        <v>116</v>
      </c>
      <c r="B117" s="1">
        <v>63</v>
      </c>
      <c r="C117" s="1" t="s">
        <v>284</v>
      </c>
      <c r="D117" s="1" t="s">
        <v>564</v>
      </c>
      <c r="E117" s="1" t="s">
        <v>208</v>
      </c>
      <c r="F117" s="1" t="str">
        <f>_xlfn.XLOOKUP(B117,'June 2025'!B:B,'June 2025'!F:F)</f>
        <v xml:space="preserve">Admin </v>
      </c>
      <c r="G117" s="1">
        <v>43000</v>
      </c>
      <c r="H117" s="1">
        <v>36065</v>
      </c>
      <c r="I117" s="1">
        <v>0</v>
      </c>
      <c r="J117" s="1">
        <v>84</v>
      </c>
      <c r="K117" s="1" t="str">
        <f>_xlfn.XLOOKUP(B117,'June 2025'!B:B,'June 2025'!K:K)</f>
        <v>L-5</v>
      </c>
    </row>
    <row r="118" spans="1:11" x14ac:dyDescent="0.3">
      <c r="A118" s="1">
        <v>117</v>
      </c>
      <c r="B118" s="1">
        <v>64</v>
      </c>
      <c r="C118" s="1" t="s">
        <v>285</v>
      </c>
      <c r="D118" s="1" t="s">
        <v>564</v>
      </c>
      <c r="E118" s="1" t="s">
        <v>286</v>
      </c>
      <c r="F118" s="1" t="str">
        <f>_xlfn.XLOOKUP(B118,'June 2025'!B:B,'June 2025'!F:F)</f>
        <v xml:space="preserve">Admin </v>
      </c>
      <c r="G118" s="1">
        <v>5000</v>
      </c>
      <c r="H118" s="1">
        <v>2580</v>
      </c>
      <c r="I118" s="1">
        <v>0</v>
      </c>
      <c r="J118" s="1">
        <v>0</v>
      </c>
      <c r="K118" s="1" t="str">
        <f>_xlfn.XLOOKUP(B118,'June 2025'!B:B,'June 2025'!K:K)</f>
        <v>L-7</v>
      </c>
    </row>
    <row r="119" spans="1:11" x14ac:dyDescent="0.3">
      <c r="A119" s="1">
        <v>118</v>
      </c>
      <c r="B119" s="1">
        <v>10157</v>
      </c>
      <c r="C119" s="1" t="s">
        <v>287</v>
      </c>
      <c r="D119" s="1" t="s">
        <v>565</v>
      </c>
      <c r="E119" s="1" t="s">
        <v>35</v>
      </c>
      <c r="F119" s="1" t="s">
        <v>501</v>
      </c>
      <c r="G119" s="1">
        <v>11500</v>
      </c>
      <c r="H119" s="1">
        <v>1855</v>
      </c>
      <c r="I119" s="1">
        <v>0</v>
      </c>
      <c r="J119" s="1">
        <v>0</v>
      </c>
      <c r="K119" s="1" t="s">
        <v>556</v>
      </c>
    </row>
    <row r="120" spans="1:11" x14ac:dyDescent="0.3">
      <c r="A120" s="1">
        <v>119</v>
      </c>
      <c r="B120" s="1">
        <v>10158</v>
      </c>
      <c r="C120" s="1" t="s">
        <v>288</v>
      </c>
      <c r="D120" s="1" t="s">
        <v>565</v>
      </c>
      <c r="E120" s="1" t="s">
        <v>235</v>
      </c>
      <c r="F120" s="1" t="str">
        <f>_xlfn.XLOOKUP(B120,'June 2025'!B:B,'June 2025'!F:F)</f>
        <v>Manufacturing</v>
      </c>
      <c r="G120" s="1">
        <v>25000</v>
      </c>
      <c r="H120" s="1">
        <v>25000</v>
      </c>
      <c r="I120" s="1">
        <v>0</v>
      </c>
      <c r="J120" s="1">
        <v>0</v>
      </c>
      <c r="K120" s="1" t="str">
        <f>_xlfn.XLOOKUP(B120,'June 2025'!B:B,'June 2025'!K:K)</f>
        <v>L-9</v>
      </c>
    </row>
    <row r="121" spans="1:11" x14ac:dyDescent="0.3">
      <c r="A121" s="1">
        <v>120</v>
      </c>
      <c r="B121" s="1">
        <v>10160</v>
      </c>
      <c r="C121" s="1" t="s">
        <v>290</v>
      </c>
      <c r="D121" s="1" t="s">
        <v>565</v>
      </c>
      <c r="E121" s="1" t="s">
        <v>35</v>
      </c>
      <c r="F121" s="1" t="str">
        <f>_xlfn.XLOOKUP(B121,'June 2025'!B:B,'June 2025'!F:F)</f>
        <v>Manufacturing</v>
      </c>
      <c r="G121" s="1">
        <v>13000</v>
      </c>
      <c r="H121" s="1">
        <v>13000</v>
      </c>
      <c r="I121" s="1">
        <v>0</v>
      </c>
      <c r="J121" s="1">
        <v>0</v>
      </c>
      <c r="K121" s="1" t="str">
        <f>_xlfn.XLOOKUP(B121,'June 2025'!B:B,'June 2025'!K:K)</f>
        <v>L-9</v>
      </c>
    </row>
    <row r="122" spans="1:11" x14ac:dyDescent="0.3">
      <c r="A122" s="1">
        <v>121</v>
      </c>
      <c r="B122" s="1">
        <v>10162</v>
      </c>
      <c r="C122" s="1" t="s">
        <v>151</v>
      </c>
      <c r="D122" s="1" t="s">
        <v>565</v>
      </c>
      <c r="E122" s="1" t="s">
        <v>35</v>
      </c>
      <c r="F122" s="1" t="str">
        <f>_xlfn.XLOOKUP(B122,'June 2025'!B:B,'June 2025'!F:F)</f>
        <v>Manufacturing</v>
      </c>
      <c r="G122" s="1">
        <v>13500</v>
      </c>
      <c r="H122" s="1">
        <v>6097</v>
      </c>
      <c r="I122" s="1">
        <v>0</v>
      </c>
      <c r="J122" s="1">
        <v>0</v>
      </c>
      <c r="K122" s="1" t="str">
        <f>_xlfn.XLOOKUP(B122,'June 2025'!B:B,'June 2025'!K:K)</f>
        <v>L-9</v>
      </c>
    </row>
    <row r="123" spans="1:11" x14ac:dyDescent="0.3">
      <c r="A123" s="1">
        <v>122</v>
      </c>
      <c r="B123" s="1">
        <v>10163</v>
      </c>
      <c r="C123" s="1" t="s">
        <v>292</v>
      </c>
      <c r="D123" s="1" t="s">
        <v>565</v>
      </c>
      <c r="E123" s="1" t="s">
        <v>35</v>
      </c>
      <c r="F123" s="1" t="str">
        <f>_xlfn.XLOOKUP(B123,'June 2025'!B:B,'June 2025'!F:F)</f>
        <v>Manufacturing</v>
      </c>
      <c r="G123" s="1">
        <v>12500</v>
      </c>
      <c r="H123" s="1">
        <v>5242</v>
      </c>
      <c r="I123" s="1">
        <v>0</v>
      </c>
      <c r="J123" s="1">
        <v>0</v>
      </c>
      <c r="K123" s="1" t="str">
        <f>_xlfn.XLOOKUP(B123,'June 2025'!B:B,'June 2025'!K:K)</f>
        <v>L-9</v>
      </c>
    </row>
    <row r="124" spans="1:11" x14ac:dyDescent="0.3">
      <c r="A124" s="1">
        <v>123</v>
      </c>
      <c r="B124" s="1">
        <v>10164</v>
      </c>
      <c r="C124" s="1" t="s">
        <v>38</v>
      </c>
      <c r="D124" s="1" t="s">
        <v>565</v>
      </c>
      <c r="E124" s="1" t="s">
        <v>35</v>
      </c>
      <c r="F124" s="1" t="s">
        <v>501</v>
      </c>
      <c r="G124" s="1">
        <v>11000</v>
      </c>
      <c r="H124" s="1">
        <v>6387</v>
      </c>
      <c r="I124" s="1">
        <v>0</v>
      </c>
      <c r="J124" s="1">
        <v>0</v>
      </c>
      <c r="K124" s="1" t="s">
        <v>556</v>
      </c>
    </row>
    <row r="125" spans="1:11" x14ac:dyDescent="0.3">
      <c r="A125" s="1">
        <v>124</v>
      </c>
      <c r="B125" s="1">
        <v>10165</v>
      </c>
      <c r="C125" s="1" t="s">
        <v>293</v>
      </c>
      <c r="D125" s="1" t="s">
        <v>565</v>
      </c>
      <c r="E125" s="1" t="s">
        <v>53</v>
      </c>
      <c r="F125" s="1" t="s">
        <v>501</v>
      </c>
      <c r="G125" s="1">
        <v>11000</v>
      </c>
      <c r="H125" s="1">
        <v>7097</v>
      </c>
      <c r="I125" s="1">
        <v>0</v>
      </c>
      <c r="J125" s="1">
        <v>0</v>
      </c>
      <c r="K125" s="1" t="s">
        <v>557</v>
      </c>
    </row>
    <row r="126" spans="1:11" x14ac:dyDescent="0.3">
      <c r="A126" s="1">
        <v>125</v>
      </c>
      <c r="B126" s="1">
        <v>10166</v>
      </c>
      <c r="C126" s="1" t="s">
        <v>294</v>
      </c>
      <c r="D126" s="1" t="s">
        <v>565</v>
      </c>
      <c r="E126" s="1" t="s">
        <v>35</v>
      </c>
      <c r="F126" s="1" t="str">
        <f>_xlfn.XLOOKUP(B126,'June 2025'!B:B,'June 2025'!F:F)</f>
        <v>Manufacturing</v>
      </c>
      <c r="G126" s="1">
        <v>11000</v>
      </c>
      <c r="H126" s="1">
        <v>9225</v>
      </c>
      <c r="I126" s="1">
        <v>0</v>
      </c>
      <c r="J126" s="1">
        <v>0</v>
      </c>
      <c r="K126" s="1" t="str">
        <f>_xlfn.XLOOKUP(B126,'June 2025'!B:B,'June 2025'!K:K)</f>
        <v>L-9</v>
      </c>
    </row>
    <row r="127" spans="1:11" x14ac:dyDescent="0.3">
      <c r="A127" s="1">
        <v>126</v>
      </c>
      <c r="B127" s="1">
        <v>65</v>
      </c>
      <c r="C127" s="1" t="s">
        <v>295</v>
      </c>
      <c r="D127" s="1" t="s">
        <v>564</v>
      </c>
      <c r="E127" s="1" t="s">
        <v>67</v>
      </c>
      <c r="F127" s="1" t="str">
        <f>_xlfn.XLOOKUP(B127,'June 2025'!B:B,'June 2025'!F:F)</f>
        <v>Manufacturing</v>
      </c>
      <c r="G127" s="1">
        <v>30000</v>
      </c>
      <c r="H127" s="1">
        <v>32776</v>
      </c>
      <c r="I127" s="1">
        <v>0</v>
      </c>
      <c r="J127" s="1">
        <v>0</v>
      </c>
      <c r="K127" s="1" t="str">
        <f>_xlfn.XLOOKUP(B127,'June 2025'!B:B,'June 2025'!K:K)</f>
        <v>L-9</v>
      </c>
    </row>
    <row r="128" spans="1:11" x14ac:dyDescent="0.3">
      <c r="A128" s="1">
        <v>127</v>
      </c>
      <c r="B128" s="1">
        <v>66</v>
      </c>
      <c r="C128" s="1" t="s">
        <v>296</v>
      </c>
      <c r="D128" s="1" t="s">
        <v>564</v>
      </c>
      <c r="E128" s="1" t="s">
        <v>67</v>
      </c>
      <c r="F128" s="1" t="str">
        <f>_xlfn.XLOOKUP(B128,'June 2025'!B:B,'June 2025'!F:F)</f>
        <v>Manufacturing</v>
      </c>
      <c r="G128" s="1">
        <v>30000</v>
      </c>
      <c r="H128" s="1">
        <v>34798</v>
      </c>
      <c r="I128" s="1">
        <v>0</v>
      </c>
      <c r="J128" s="1">
        <v>0</v>
      </c>
      <c r="K128" s="1" t="str">
        <f>_xlfn.XLOOKUP(B128,'June 2025'!B:B,'June 2025'!K:K)</f>
        <v>L-9</v>
      </c>
    </row>
    <row r="129" spans="1:11" x14ac:dyDescent="0.3">
      <c r="A129" s="1">
        <v>128</v>
      </c>
      <c r="B129" s="1">
        <v>67</v>
      </c>
      <c r="C129" s="1" t="s">
        <v>297</v>
      </c>
      <c r="D129" s="1" t="s">
        <v>564</v>
      </c>
      <c r="E129" s="1" t="s">
        <v>67</v>
      </c>
      <c r="F129" s="1" t="str">
        <f>_xlfn.XLOOKUP(B129,'June 2025'!B:B,'June 2025'!F:F)</f>
        <v>Manufacturing</v>
      </c>
      <c r="G129" s="1">
        <v>30000</v>
      </c>
      <c r="H129" s="1">
        <v>30375</v>
      </c>
      <c r="I129" s="1">
        <v>0</v>
      </c>
      <c r="J129" s="1">
        <v>0</v>
      </c>
      <c r="K129" s="1" t="str">
        <f>_xlfn.XLOOKUP(B129,'June 2025'!B:B,'June 2025'!K:K)</f>
        <v>L-9</v>
      </c>
    </row>
    <row r="130" spans="1:11" x14ac:dyDescent="0.3">
      <c r="A130" s="1">
        <v>129</v>
      </c>
      <c r="B130" s="1">
        <v>68</v>
      </c>
      <c r="C130" s="1" t="s">
        <v>298</v>
      </c>
      <c r="D130" s="1" t="s">
        <v>564</v>
      </c>
      <c r="E130" s="1" t="s">
        <v>67</v>
      </c>
      <c r="F130" s="1" t="str">
        <f>_xlfn.XLOOKUP(B130,'June 2025'!B:B,'June 2025'!F:F)</f>
        <v>Manufacturing</v>
      </c>
      <c r="G130" s="1">
        <v>30000</v>
      </c>
      <c r="H130" s="1">
        <v>0</v>
      </c>
      <c r="I130" s="1">
        <v>0</v>
      </c>
      <c r="J130" s="1">
        <v>0</v>
      </c>
      <c r="K130" s="1" t="str">
        <f>_xlfn.XLOOKUP(B130,'June 2025'!B:B,'June 2025'!K:K)</f>
        <v>L-9</v>
      </c>
    </row>
    <row r="131" spans="1:11" x14ac:dyDescent="0.3">
      <c r="A131" s="1">
        <v>130</v>
      </c>
      <c r="B131" s="1">
        <v>69</v>
      </c>
      <c r="C131" s="1" t="s">
        <v>299</v>
      </c>
      <c r="D131" s="1" t="s">
        <v>564</v>
      </c>
      <c r="E131" s="1" t="s">
        <v>67</v>
      </c>
      <c r="F131" s="1" t="str">
        <f>_xlfn.XLOOKUP(B131,'June 2025'!B:B,'June 2025'!F:F)</f>
        <v>Manufacturing</v>
      </c>
      <c r="G131" s="1">
        <v>30000</v>
      </c>
      <c r="H131" s="1">
        <v>29027</v>
      </c>
      <c r="I131" s="1">
        <v>0</v>
      </c>
      <c r="J131" s="1">
        <v>0</v>
      </c>
      <c r="K131" s="1" t="str">
        <f>_xlfn.XLOOKUP(B131,'June 2025'!B:B,'June 2025'!K:K)</f>
        <v>L-9</v>
      </c>
    </row>
    <row r="132" spans="1:11" x14ac:dyDescent="0.3">
      <c r="A132" s="1">
        <v>131</v>
      </c>
      <c r="B132" s="1">
        <v>70</v>
      </c>
      <c r="C132" s="1" t="s">
        <v>300</v>
      </c>
      <c r="D132" s="1" t="s">
        <v>564</v>
      </c>
      <c r="E132" s="1" t="s">
        <v>67</v>
      </c>
      <c r="F132" s="1" t="str">
        <f>_xlfn.XLOOKUP(B132,'June 2025'!B:B,'June 2025'!F:F)</f>
        <v>Manufacturing</v>
      </c>
      <c r="G132" s="1">
        <v>30000</v>
      </c>
      <c r="H132" s="1">
        <v>23849</v>
      </c>
      <c r="I132" s="1">
        <v>0</v>
      </c>
      <c r="J132" s="1">
        <v>0</v>
      </c>
      <c r="K132" s="1" t="str">
        <f>_xlfn.XLOOKUP(B132,'June 2025'!B:B,'June 2025'!K:K)</f>
        <v>L-9</v>
      </c>
    </row>
    <row r="133" spans="1:11" x14ac:dyDescent="0.3">
      <c r="A133" s="1">
        <v>132</v>
      </c>
      <c r="B133" s="1">
        <v>71</v>
      </c>
      <c r="C133" s="1" t="s">
        <v>301</v>
      </c>
      <c r="D133" s="1" t="s">
        <v>564</v>
      </c>
      <c r="E133" s="1" t="s">
        <v>67</v>
      </c>
      <c r="F133" s="1" t="str">
        <f>_xlfn.XLOOKUP(B133,'June 2025'!B:B,'June 2025'!F:F)</f>
        <v>Manufacturing</v>
      </c>
      <c r="G133" s="1">
        <v>30000</v>
      </c>
      <c r="H133" s="1">
        <v>26805</v>
      </c>
      <c r="I133" s="1">
        <v>0</v>
      </c>
      <c r="J133" s="1">
        <v>0</v>
      </c>
      <c r="K133" s="1" t="str">
        <f>_xlfn.XLOOKUP(B133,'June 2025'!B:B,'June 2025'!K:K)</f>
        <v>L-9</v>
      </c>
    </row>
    <row r="134" spans="1:11" x14ac:dyDescent="0.3">
      <c r="A134" s="1">
        <v>133</v>
      </c>
      <c r="B134" s="1">
        <v>72</v>
      </c>
      <c r="C134" s="1" t="s">
        <v>302</v>
      </c>
      <c r="D134" s="1" t="s">
        <v>564</v>
      </c>
      <c r="E134" s="1" t="s">
        <v>67</v>
      </c>
      <c r="F134" s="1" t="str">
        <f>_xlfn.XLOOKUP(B134,'June 2025'!B:B,'June 2025'!F:F)</f>
        <v>Manufacturing</v>
      </c>
      <c r="G134" s="1">
        <v>30000</v>
      </c>
      <c r="H134" s="1">
        <v>27648</v>
      </c>
      <c r="I134" s="1">
        <v>0</v>
      </c>
      <c r="J134" s="1">
        <v>0</v>
      </c>
      <c r="K134" s="1" t="str">
        <f>_xlfn.XLOOKUP(B134,'June 2025'!B:B,'June 2025'!K:K)</f>
        <v>L-9</v>
      </c>
    </row>
    <row r="135" spans="1:11" x14ac:dyDescent="0.3">
      <c r="A135" s="1">
        <v>134</v>
      </c>
      <c r="B135" s="1">
        <v>73</v>
      </c>
      <c r="C135" s="1" t="s">
        <v>303</v>
      </c>
      <c r="D135" s="1" t="s">
        <v>564</v>
      </c>
      <c r="E135" s="1" t="s">
        <v>67</v>
      </c>
      <c r="F135" s="1" t="str">
        <f>_xlfn.XLOOKUP(B135,'June 2025'!B:B,'June 2025'!F:F)</f>
        <v>Manufacturing</v>
      </c>
      <c r="G135" s="1">
        <v>30000</v>
      </c>
      <c r="H135" s="1">
        <v>26491</v>
      </c>
      <c r="I135" s="1">
        <v>0</v>
      </c>
      <c r="J135" s="1">
        <v>0</v>
      </c>
      <c r="K135" s="1" t="str">
        <f>_xlfn.XLOOKUP(B135,'June 2025'!B:B,'June 2025'!K:K)</f>
        <v>L-9</v>
      </c>
    </row>
    <row r="136" spans="1:11" x14ac:dyDescent="0.3">
      <c r="A136" s="1">
        <v>135</v>
      </c>
      <c r="B136" s="1">
        <v>74</v>
      </c>
      <c r="C136" s="1" t="s">
        <v>304</v>
      </c>
      <c r="D136" s="1" t="s">
        <v>564</v>
      </c>
      <c r="E136" s="1" t="s">
        <v>67</v>
      </c>
      <c r="F136" s="1" t="str">
        <f>_xlfn.XLOOKUP(B136,'June 2025'!B:B,'June 2025'!F:F)</f>
        <v>Manufacturing</v>
      </c>
      <c r="G136" s="1">
        <v>30000</v>
      </c>
      <c r="H136" s="1">
        <v>24568</v>
      </c>
      <c r="I136" s="1">
        <v>0</v>
      </c>
      <c r="J136" s="1">
        <v>0</v>
      </c>
      <c r="K136" s="1" t="str">
        <f>_xlfn.XLOOKUP(B136,'June 2025'!B:B,'June 2025'!K:K)</f>
        <v>L-9</v>
      </c>
    </row>
    <row r="137" spans="1:11" x14ac:dyDescent="0.3">
      <c r="A137" s="1">
        <v>136</v>
      </c>
      <c r="B137" s="1">
        <v>75</v>
      </c>
      <c r="C137" s="1" t="s">
        <v>305</v>
      </c>
      <c r="D137" s="1" t="s">
        <v>564</v>
      </c>
      <c r="E137" s="1" t="s">
        <v>67</v>
      </c>
      <c r="F137" s="1" t="str">
        <f>_xlfn.XLOOKUP(B137,'June 2025'!B:B,'June 2025'!F:F)</f>
        <v>Manufacturing</v>
      </c>
      <c r="G137" s="1">
        <v>30000</v>
      </c>
      <c r="H137" s="1">
        <v>25691</v>
      </c>
      <c r="I137" s="1">
        <v>0</v>
      </c>
      <c r="J137" s="1">
        <v>0</v>
      </c>
      <c r="K137" s="1" t="str">
        <f>_xlfn.XLOOKUP(B137,'June 2025'!B:B,'June 2025'!K:K)</f>
        <v>L-9</v>
      </c>
    </row>
    <row r="138" spans="1:11" x14ac:dyDescent="0.3">
      <c r="A138" s="1">
        <v>137</v>
      </c>
      <c r="B138" s="1">
        <v>76</v>
      </c>
      <c r="C138" s="1" t="s">
        <v>306</v>
      </c>
      <c r="D138" s="1" t="s">
        <v>564</v>
      </c>
      <c r="E138" s="1" t="s">
        <v>67</v>
      </c>
      <c r="F138" s="1" t="str">
        <f>_xlfn.XLOOKUP(B138,'June 2025'!B:B,'June 2025'!F:F)</f>
        <v>Manufacturing</v>
      </c>
      <c r="G138" s="1">
        <v>30000</v>
      </c>
      <c r="H138" s="1">
        <v>16309</v>
      </c>
      <c r="I138" s="1">
        <v>0</v>
      </c>
      <c r="J138" s="1">
        <v>0</v>
      </c>
      <c r="K138" s="1" t="str">
        <f>_xlfn.XLOOKUP(B138,'June 2025'!B:B,'June 2025'!K:K)</f>
        <v>L-9</v>
      </c>
    </row>
    <row r="139" spans="1:11" x14ac:dyDescent="0.3">
      <c r="A139" s="1">
        <v>138</v>
      </c>
      <c r="B139" s="1">
        <v>77</v>
      </c>
      <c r="C139" s="1" t="s">
        <v>307</v>
      </c>
      <c r="D139" s="1" t="s">
        <v>564</v>
      </c>
      <c r="E139" s="1" t="s">
        <v>67</v>
      </c>
      <c r="F139" s="1" t="str">
        <f>_xlfn.XLOOKUP(B139,'June 2025'!B:B,'June 2025'!F:F)</f>
        <v>Manufacturing</v>
      </c>
      <c r="G139" s="1">
        <v>30000</v>
      </c>
      <c r="H139" s="1">
        <v>27358</v>
      </c>
      <c r="I139" s="1">
        <v>0</v>
      </c>
      <c r="J139" s="1">
        <v>0</v>
      </c>
      <c r="K139" s="1" t="str">
        <f>_xlfn.XLOOKUP(B139,'June 2025'!B:B,'June 2025'!K:K)</f>
        <v>L-9</v>
      </c>
    </row>
    <row r="140" spans="1:11" x14ac:dyDescent="0.3">
      <c r="A140" s="1">
        <v>139</v>
      </c>
      <c r="B140" s="1">
        <v>78</v>
      </c>
      <c r="C140" s="1" t="s">
        <v>308</v>
      </c>
      <c r="D140" s="1" t="s">
        <v>564</v>
      </c>
      <c r="E140" s="1" t="s">
        <v>67</v>
      </c>
      <c r="F140" s="1" t="str">
        <f>_xlfn.XLOOKUP(B140,'June 2025'!B:B,'June 2025'!F:F)</f>
        <v>Manufacturing</v>
      </c>
      <c r="G140" s="1">
        <v>30000</v>
      </c>
      <c r="H140" s="1">
        <v>25666</v>
      </c>
      <c r="I140" s="1">
        <v>0</v>
      </c>
      <c r="J140" s="1">
        <v>0</v>
      </c>
      <c r="K140" s="1" t="str">
        <f>_xlfn.XLOOKUP(B140,'June 2025'!B:B,'June 2025'!K:K)</f>
        <v>L-9</v>
      </c>
    </row>
    <row r="141" spans="1:11" x14ac:dyDescent="0.3">
      <c r="A141" s="1">
        <v>140</v>
      </c>
      <c r="B141" s="1">
        <v>79</v>
      </c>
      <c r="C141" s="1" t="s">
        <v>309</v>
      </c>
      <c r="D141" s="1" t="s">
        <v>564</v>
      </c>
      <c r="E141" s="1" t="s">
        <v>67</v>
      </c>
      <c r="F141" s="1" t="str">
        <f>_xlfn.XLOOKUP(B141,'June 2025'!B:B,'June 2025'!F:F)</f>
        <v>Manufacturing</v>
      </c>
      <c r="G141" s="1">
        <v>30000</v>
      </c>
      <c r="H141" s="1">
        <v>14954</v>
      </c>
      <c r="I141" s="1">
        <v>0</v>
      </c>
      <c r="J141" s="1">
        <v>0</v>
      </c>
      <c r="K141" s="1" t="str">
        <f>_xlfn.XLOOKUP(B141,'June 2025'!B:B,'June 2025'!K:K)</f>
        <v>L-9</v>
      </c>
    </row>
    <row r="142" spans="1:11" x14ac:dyDescent="0.3">
      <c r="A142" s="1">
        <v>141</v>
      </c>
      <c r="B142" s="1">
        <v>80</v>
      </c>
      <c r="C142" s="1" t="s">
        <v>310</v>
      </c>
      <c r="D142" s="1" t="s">
        <v>564</v>
      </c>
      <c r="E142" s="1" t="s">
        <v>67</v>
      </c>
      <c r="F142" s="1" t="str">
        <f>_xlfn.XLOOKUP(B142,'June 2025'!B:B,'June 2025'!F:F)</f>
        <v>Manufacturing</v>
      </c>
      <c r="G142" s="1">
        <v>30000</v>
      </c>
      <c r="H142" s="1">
        <v>26453</v>
      </c>
      <c r="I142" s="1">
        <v>0</v>
      </c>
      <c r="J142" s="1">
        <v>0</v>
      </c>
      <c r="K142" s="1" t="str">
        <f>_xlfn.XLOOKUP(B142,'June 2025'!B:B,'June 2025'!K:K)</f>
        <v>L-9</v>
      </c>
    </row>
    <row r="143" spans="1:11" x14ac:dyDescent="0.3">
      <c r="A143" s="1">
        <v>142</v>
      </c>
      <c r="B143" s="1">
        <v>81</v>
      </c>
      <c r="C143" s="1" t="s">
        <v>311</v>
      </c>
      <c r="D143" s="1" t="s">
        <v>564</v>
      </c>
      <c r="E143" s="1" t="s">
        <v>67</v>
      </c>
      <c r="F143" s="1" t="str">
        <f>_xlfn.XLOOKUP(B143,'June 2025'!B:B,'June 2025'!F:F)</f>
        <v>Manufacturing</v>
      </c>
      <c r="G143" s="1">
        <v>30000</v>
      </c>
      <c r="H143" s="1">
        <v>6769</v>
      </c>
      <c r="I143" s="1">
        <v>0</v>
      </c>
      <c r="J143" s="1">
        <v>0</v>
      </c>
      <c r="K143" s="1" t="str">
        <f>_xlfn.XLOOKUP(B143,'June 2025'!B:B,'June 2025'!K:K)</f>
        <v>L-9</v>
      </c>
    </row>
    <row r="144" spans="1:11" x14ac:dyDescent="0.3">
      <c r="A144" s="1">
        <v>143</v>
      </c>
      <c r="B144" s="1">
        <v>82</v>
      </c>
      <c r="C144" s="1" t="s">
        <v>312</v>
      </c>
      <c r="D144" s="1" t="s">
        <v>564</v>
      </c>
      <c r="E144" s="1" t="s">
        <v>67</v>
      </c>
      <c r="F144" s="1" t="str">
        <f>_xlfn.XLOOKUP(B144,'June 2025'!B:B,'June 2025'!F:F)</f>
        <v>Manufacturing</v>
      </c>
      <c r="G144" s="1">
        <v>30000</v>
      </c>
      <c r="H144" s="1">
        <v>5317</v>
      </c>
      <c r="I144" s="1">
        <v>0</v>
      </c>
      <c r="J144" s="1">
        <v>0</v>
      </c>
      <c r="K144" s="1" t="str">
        <f>_xlfn.XLOOKUP(B144,'June 2025'!B:B,'June 2025'!K:K)</f>
        <v>L-9</v>
      </c>
    </row>
    <row r="145" spans="1:11" x14ac:dyDescent="0.3">
      <c r="A145" s="1">
        <v>144</v>
      </c>
      <c r="B145" s="1">
        <v>83</v>
      </c>
      <c r="C145" s="1" t="s">
        <v>313</v>
      </c>
      <c r="D145" s="1" t="s">
        <v>564</v>
      </c>
      <c r="E145" s="1" t="s">
        <v>67</v>
      </c>
      <c r="F145" s="1" t="str">
        <f>_xlfn.XLOOKUP(B145,'June 2025'!B:B,'June 2025'!F:F)</f>
        <v>Manufacturing</v>
      </c>
      <c r="G145" s="1">
        <v>30000</v>
      </c>
      <c r="H145" s="1">
        <v>19926</v>
      </c>
      <c r="I145" s="1">
        <v>0</v>
      </c>
      <c r="J145" s="1">
        <v>0</v>
      </c>
      <c r="K145" s="1" t="str">
        <f>_xlfn.XLOOKUP(B145,'June 2025'!B:B,'June 2025'!K:K)</f>
        <v>L-9</v>
      </c>
    </row>
    <row r="146" spans="1:11" x14ac:dyDescent="0.3">
      <c r="A146" s="1">
        <v>145</v>
      </c>
      <c r="B146" s="1">
        <v>84</v>
      </c>
      <c r="C146" s="1" t="s">
        <v>314</v>
      </c>
      <c r="D146" s="1" t="s">
        <v>564</v>
      </c>
      <c r="E146" s="1" t="s">
        <v>67</v>
      </c>
      <c r="F146" s="1" t="str">
        <f>_xlfn.XLOOKUP(B146,'June 2025'!B:B,'June 2025'!F:F)</f>
        <v>Manufacturing</v>
      </c>
      <c r="G146" s="1">
        <v>30000</v>
      </c>
      <c r="H146" s="1">
        <v>6183</v>
      </c>
      <c r="I146" s="1">
        <v>0</v>
      </c>
      <c r="J146" s="1">
        <v>0</v>
      </c>
      <c r="K146" s="1" t="str">
        <f>_xlfn.XLOOKUP(B146,'June 2025'!B:B,'June 2025'!K:K)</f>
        <v>L-9</v>
      </c>
    </row>
    <row r="147" spans="1:11" x14ac:dyDescent="0.3">
      <c r="A147" s="1">
        <v>146</v>
      </c>
      <c r="B147" s="1">
        <v>85</v>
      </c>
      <c r="C147" s="1" t="s">
        <v>315</v>
      </c>
      <c r="D147" s="1" t="s">
        <v>564</v>
      </c>
      <c r="E147" s="1" t="s">
        <v>67</v>
      </c>
      <c r="F147" s="1" t="str">
        <f>_xlfn.XLOOKUP(B147,'June 2025'!B:B,'June 2025'!F:F)</f>
        <v>Manufacturing</v>
      </c>
      <c r="G147" s="1">
        <v>30000</v>
      </c>
      <c r="H147" s="1">
        <v>19642</v>
      </c>
      <c r="I147" s="1">
        <v>0</v>
      </c>
      <c r="J147" s="1">
        <v>0</v>
      </c>
      <c r="K147" s="1" t="str">
        <f>_xlfn.XLOOKUP(B147,'June 2025'!B:B,'June 2025'!K:K)</f>
        <v>L-9</v>
      </c>
    </row>
    <row r="148" spans="1:11" x14ac:dyDescent="0.3">
      <c r="A148" s="1">
        <v>147</v>
      </c>
      <c r="B148" s="1">
        <v>86</v>
      </c>
      <c r="C148" s="1" t="s">
        <v>316</v>
      </c>
      <c r="D148" s="1" t="s">
        <v>564</v>
      </c>
      <c r="E148" s="1" t="s">
        <v>67</v>
      </c>
      <c r="F148" s="1" t="str">
        <f>_xlfn.XLOOKUP(B148,'June 2025'!B:B,'June 2025'!F:F)</f>
        <v>Manufacturing</v>
      </c>
      <c r="G148" s="1">
        <v>30000</v>
      </c>
      <c r="H148" s="1">
        <v>21729</v>
      </c>
      <c r="I148" s="1">
        <v>0</v>
      </c>
      <c r="J148" s="1">
        <v>0</v>
      </c>
      <c r="K148" s="1" t="str">
        <f>_xlfn.XLOOKUP(B148,'June 2025'!B:B,'June 2025'!K:K)</f>
        <v>L-9</v>
      </c>
    </row>
    <row r="149" spans="1:11" x14ac:dyDescent="0.3">
      <c r="A149" s="1">
        <v>148</v>
      </c>
      <c r="B149" s="1">
        <v>87</v>
      </c>
      <c r="C149" s="1" t="s">
        <v>349</v>
      </c>
      <c r="D149" s="1" t="s">
        <v>564</v>
      </c>
      <c r="E149" s="1" t="s">
        <v>67</v>
      </c>
      <c r="F149" s="1" t="str">
        <f>_xlfn.XLOOKUP(B149,'June 2025'!B:B,'June 2025'!F:F)</f>
        <v>Manufacturing</v>
      </c>
      <c r="G149" s="1">
        <v>30000</v>
      </c>
      <c r="H149" s="1">
        <v>26256</v>
      </c>
      <c r="I149" s="1">
        <v>0</v>
      </c>
      <c r="J149" s="1">
        <v>0</v>
      </c>
      <c r="K149" s="1" t="str">
        <f>_xlfn.XLOOKUP(B149,'June 2025'!B:B,'June 2025'!K:K)</f>
        <v>L-9</v>
      </c>
    </row>
    <row r="150" spans="1:11" x14ac:dyDescent="0.3">
      <c r="A150" s="1">
        <v>149</v>
      </c>
      <c r="B150" s="1">
        <v>88</v>
      </c>
      <c r="C150" s="1" t="s">
        <v>318</v>
      </c>
      <c r="D150" s="1" t="s">
        <v>564</v>
      </c>
      <c r="E150" s="1" t="s">
        <v>67</v>
      </c>
      <c r="F150" s="1" t="str">
        <f>_xlfn.XLOOKUP(B150,'June 2025'!B:B,'June 2025'!F:F)</f>
        <v>Manufacturing</v>
      </c>
      <c r="G150" s="1">
        <v>30000</v>
      </c>
      <c r="H150" s="1">
        <v>18340</v>
      </c>
      <c r="I150" s="1">
        <v>0</v>
      </c>
      <c r="J150" s="1">
        <v>0</v>
      </c>
      <c r="K150" s="1" t="str">
        <f>_xlfn.XLOOKUP(B150,'June 2025'!B:B,'June 2025'!K:K)</f>
        <v>L-9</v>
      </c>
    </row>
    <row r="151" spans="1:11" x14ac:dyDescent="0.3">
      <c r="A151" s="1">
        <v>150</v>
      </c>
      <c r="B151" s="1">
        <v>89</v>
      </c>
      <c r="C151" s="1" t="s">
        <v>319</v>
      </c>
      <c r="D151" s="1" t="s">
        <v>564</v>
      </c>
      <c r="E151" s="1" t="s">
        <v>67</v>
      </c>
      <c r="F151" s="1" t="str">
        <f>_xlfn.XLOOKUP(B151,'June 2025'!B:B,'June 2025'!F:F)</f>
        <v>Manufacturing</v>
      </c>
      <c r="G151" s="1">
        <v>30000</v>
      </c>
      <c r="H151" s="1">
        <v>0</v>
      </c>
      <c r="I151" s="1">
        <v>0</v>
      </c>
      <c r="J151" s="1">
        <v>0</v>
      </c>
      <c r="K151" s="1" t="str">
        <f>_xlfn.XLOOKUP(B151,'June 2025'!B:B,'June 2025'!K:K)</f>
        <v>L-9</v>
      </c>
    </row>
    <row r="152" spans="1:11" x14ac:dyDescent="0.3">
      <c r="A152" s="1">
        <v>151</v>
      </c>
      <c r="B152" s="1">
        <v>90</v>
      </c>
      <c r="C152" s="1" t="s">
        <v>320</v>
      </c>
      <c r="D152" s="1" t="s">
        <v>564</v>
      </c>
      <c r="E152" s="1" t="s">
        <v>67</v>
      </c>
      <c r="F152" s="1" t="str">
        <f>_xlfn.XLOOKUP(B152,'June 2025'!B:B,'June 2025'!F:F)</f>
        <v>Manufacturing</v>
      </c>
      <c r="G152" s="1">
        <v>30000</v>
      </c>
      <c r="H152" s="1">
        <v>19848</v>
      </c>
      <c r="I152" s="1">
        <v>0</v>
      </c>
      <c r="J152" s="1">
        <v>0</v>
      </c>
      <c r="K152" s="1" t="str">
        <f>_xlfn.XLOOKUP(B152,'June 2025'!B:B,'June 2025'!K:K)</f>
        <v>L-9</v>
      </c>
    </row>
    <row r="153" spans="1:11" x14ac:dyDescent="0.3">
      <c r="A153" s="1">
        <v>152</v>
      </c>
      <c r="B153" s="1">
        <v>91</v>
      </c>
      <c r="C153" s="1" t="s">
        <v>321</v>
      </c>
      <c r="D153" s="1" t="s">
        <v>564</v>
      </c>
      <c r="E153" s="1" t="s">
        <v>67</v>
      </c>
      <c r="F153" s="1" t="str">
        <f>_xlfn.XLOOKUP(B153,'June 2025'!B:B,'June 2025'!F:F)</f>
        <v>Manufacturing</v>
      </c>
      <c r="G153" s="1">
        <v>30000</v>
      </c>
      <c r="H153" s="1">
        <v>12558</v>
      </c>
      <c r="I153" s="1">
        <v>0</v>
      </c>
      <c r="J153" s="1">
        <v>0</v>
      </c>
      <c r="K153" s="1" t="str">
        <f>_xlfn.XLOOKUP(B153,'June 2025'!B:B,'June 2025'!K:K)</f>
        <v>L-9</v>
      </c>
    </row>
    <row r="154" spans="1:11" x14ac:dyDescent="0.3">
      <c r="A154" s="1">
        <v>153</v>
      </c>
      <c r="B154" s="1">
        <v>92</v>
      </c>
      <c r="C154" s="1" t="s">
        <v>322</v>
      </c>
      <c r="D154" s="1" t="s">
        <v>564</v>
      </c>
      <c r="E154" s="1" t="s">
        <v>67</v>
      </c>
      <c r="F154" s="1" t="str">
        <f>_xlfn.XLOOKUP(B154,'June 2025'!B:B,'June 2025'!F:F)</f>
        <v>Manufacturing</v>
      </c>
      <c r="G154" s="1">
        <v>30000</v>
      </c>
      <c r="H154" s="1">
        <v>0</v>
      </c>
      <c r="I154" s="1">
        <v>0</v>
      </c>
      <c r="J154" s="1">
        <v>0</v>
      </c>
      <c r="K154" s="1" t="str">
        <f>_xlfn.XLOOKUP(B154,'June 2025'!B:B,'June 2025'!K:K)</f>
        <v>L-9</v>
      </c>
    </row>
    <row r="155" spans="1:11" x14ac:dyDescent="0.3">
      <c r="A155" s="1">
        <v>154</v>
      </c>
      <c r="B155" s="1">
        <v>93</v>
      </c>
      <c r="C155" s="1" t="s">
        <v>323</v>
      </c>
      <c r="D155" s="1" t="s">
        <v>564</v>
      </c>
      <c r="E155" s="1" t="s">
        <v>67</v>
      </c>
      <c r="F155" s="1" t="str">
        <f>_xlfn.XLOOKUP(B155,'June 2025'!B:B,'June 2025'!F:F)</f>
        <v>Manufacturing</v>
      </c>
      <c r="G155" s="1">
        <v>30000</v>
      </c>
      <c r="H155" s="1">
        <v>13005</v>
      </c>
      <c r="I155" s="1">
        <v>0</v>
      </c>
      <c r="J155" s="1">
        <v>0</v>
      </c>
      <c r="K155" s="1" t="str">
        <f>_xlfn.XLOOKUP(B155,'June 2025'!B:B,'June 2025'!K:K)</f>
        <v>L-9</v>
      </c>
    </row>
    <row r="156" spans="1:11" x14ac:dyDescent="0.3">
      <c r="A156" s="1">
        <v>155</v>
      </c>
      <c r="B156" s="1">
        <v>94</v>
      </c>
      <c r="C156" s="1" t="s">
        <v>324</v>
      </c>
      <c r="D156" s="1" t="s">
        <v>564</v>
      </c>
      <c r="E156" s="1" t="s">
        <v>67</v>
      </c>
      <c r="F156" s="1" t="str">
        <f>_xlfn.XLOOKUP(B156,'June 2025'!B:B,'June 2025'!F:F)</f>
        <v>Manufacturing</v>
      </c>
      <c r="G156" s="1">
        <v>30000</v>
      </c>
      <c r="H156" s="1">
        <v>20226</v>
      </c>
      <c r="I156" s="1">
        <v>0</v>
      </c>
      <c r="J156" s="1">
        <v>0</v>
      </c>
      <c r="K156" s="1" t="str">
        <f>_xlfn.XLOOKUP(B156,'June 2025'!B:B,'June 2025'!K:K)</f>
        <v>L-9</v>
      </c>
    </row>
    <row r="157" spans="1:11" x14ac:dyDescent="0.3">
      <c r="A157" s="1">
        <v>157</v>
      </c>
      <c r="B157" s="1">
        <v>96</v>
      </c>
      <c r="C157" s="1" t="s">
        <v>326</v>
      </c>
      <c r="D157" s="1" t="s">
        <v>564</v>
      </c>
      <c r="E157" s="1" t="s">
        <v>67</v>
      </c>
      <c r="F157" s="1" t="str">
        <f>_xlfn.XLOOKUP(B157,'June 2025'!B:B,'June 2025'!F:F)</f>
        <v>Manufacturing</v>
      </c>
      <c r="G157" s="1">
        <v>30000</v>
      </c>
      <c r="H157" s="1">
        <v>0</v>
      </c>
      <c r="I157" s="1">
        <v>0</v>
      </c>
      <c r="J157" s="1">
        <v>0</v>
      </c>
      <c r="K157" s="1" t="str">
        <f>_xlfn.XLOOKUP(B157,'June 2025'!B:B,'June 2025'!K:K)</f>
        <v>L-9</v>
      </c>
    </row>
    <row r="158" spans="1:11" x14ac:dyDescent="0.3">
      <c r="A158" s="1">
        <v>158</v>
      </c>
      <c r="B158" s="1">
        <v>97</v>
      </c>
      <c r="C158" s="1" t="s">
        <v>327</v>
      </c>
      <c r="D158" s="1" t="s">
        <v>564</v>
      </c>
      <c r="E158" s="1" t="s">
        <v>67</v>
      </c>
      <c r="F158" s="1" t="str">
        <f>_xlfn.XLOOKUP(B158,'June 2025'!B:B,'June 2025'!F:F)</f>
        <v>Manufacturing</v>
      </c>
      <c r="G158" s="1">
        <v>30000</v>
      </c>
      <c r="H158" s="1">
        <v>0</v>
      </c>
      <c r="I158" s="1">
        <v>0</v>
      </c>
      <c r="J158" s="1">
        <v>0</v>
      </c>
      <c r="K158" s="1" t="str">
        <f>_xlfn.XLOOKUP(B158,'June 2025'!B:B,'June 2025'!K:K)</f>
        <v>L-9</v>
      </c>
    </row>
    <row r="159" spans="1:11" x14ac:dyDescent="0.3">
      <c r="A159" s="1">
        <v>159</v>
      </c>
      <c r="B159" s="1">
        <v>98</v>
      </c>
      <c r="C159" s="1" t="s">
        <v>328</v>
      </c>
      <c r="D159" s="1" t="s">
        <v>564</v>
      </c>
      <c r="E159" s="1" t="s">
        <v>67</v>
      </c>
      <c r="F159" s="1" t="str">
        <f>_xlfn.XLOOKUP(B159,'June 2025'!B:B,'June 2025'!F:F)</f>
        <v>Manufacturing</v>
      </c>
      <c r="G159" s="1">
        <v>30000</v>
      </c>
      <c r="H159" s="1">
        <v>0</v>
      </c>
      <c r="I159" s="1">
        <v>0</v>
      </c>
      <c r="J159" s="1">
        <v>0</v>
      </c>
      <c r="K159" s="1" t="str">
        <f>_xlfn.XLOOKUP(B159,'June 2025'!B:B,'June 2025'!K:K)</f>
        <v>L-9</v>
      </c>
    </row>
    <row r="160" spans="1:11" x14ac:dyDescent="0.3">
      <c r="A160" s="1">
        <v>160</v>
      </c>
      <c r="B160" s="1">
        <v>99</v>
      </c>
      <c r="C160" s="1" t="s">
        <v>329</v>
      </c>
      <c r="D160" s="1" t="s">
        <v>564</v>
      </c>
      <c r="E160" s="1" t="s">
        <v>67</v>
      </c>
      <c r="F160" s="1" t="str">
        <f>_xlfn.XLOOKUP(B160,'June 2025'!B:B,'June 2025'!F:F)</f>
        <v>Manufacturing</v>
      </c>
      <c r="G160" s="1">
        <v>30000</v>
      </c>
      <c r="H160" s="1">
        <v>0</v>
      </c>
      <c r="I160" s="1">
        <v>0</v>
      </c>
      <c r="J160" s="1">
        <v>0</v>
      </c>
      <c r="K160" s="1" t="str">
        <f>_xlfn.XLOOKUP(B160,'June 2025'!B:B,'June 2025'!K:K)</f>
        <v>L-9</v>
      </c>
    </row>
    <row r="161" spans="1:11" x14ac:dyDescent="0.3">
      <c r="A161" s="1">
        <v>161</v>
      </c>
      <c r="B161" s="1">
        <v>10167</v>
      </c>
      <c r="C161" s="1" t="s">
        <v>330</v>
      </c>
      <c r="D161" s="1" t="s">
        <v>565</v>
      </c>
      <c r="E161" s="1" t="s">
        <v>331</v>
      </c>
      <c r="F161" s="1" t="str">
        <f>_xlfn.XLOOKUP(B161,'June 2025'!B:B,'June 2025'!F:F)</f>
        <v>Manufacturing</v>
      </c>
      <c r="G161" s="1">
        <v>16000</v>
      </c>
      <c r="H161" s="1">
        <v>3515</v>
      </c>
      <c r="I161" s="1">
        <v>0</v>
      </c>
      <c r="J161" s="1">
        <v>0</v>
      </c>
      <c r="K161" s="1" t="str">
        <f>_xlfn.XLOOKUP(B161,'June 2025'!B:B,'June 2025'!K:K)</f>
        <v>L-9</v>
      </c>
    </row>
    <row r="162" spans="1:11" x14ac:dyDescent="0.3">
      <c r="A162" s="1">
        <v>162</v>
      </c>
      <c r="B162" s="1">
        <v>10168</v>
      </c>
      <c r="C162" s="1" t="s">
        <v>332</v>
      </c>
      <c r="D162" s="1" t="s">
        <v>565</v>
      </c>
      <c r="E162" s="1" t="s">
        <v>10</v>
      </c>
      <c r="F162" s="1" t="s">
        <v>501</v>
      </c>
      <c r="G162" s="1">
        <v>25000</v>
      </c>
      <c r="H162" s="1">
        <v>15225</v>
      </c>
      <c r="I162" s="1">
        <v>0</v>
      </c>
      <c r="J162" s="1">
        <v>0</v>
      </c>
      <c r="K162" s="1" t="s">
        <v>555</v>
      </c>
    </row>
    <row r="163" spans="1:11" x14ac:dyDescent="0.3">
      <c r="A163" s="1">
        <v>163</v>
      </c>
      <c r="B163" s="1">
        <v>100</v>
      </c>
      <c r="C163" s="1" t="s">
        <v>334</v>
      </c>
      <c r="D163" s="1" t="s">
        <v>564</v>
      </c>
      <c r="E163" s="1" t="s">
        <v>558</v>
      </c>
      <c r="F163" s="1" t="str">
        <f>_xlfn.XLOOKUP(B163,'June 2025'!B:B,'June 2025'!F:F)</f>
        <v xml:space="preserve">Admin </v>
      </c>
      <c r="G163" s="1">
        <v>42095</v>
      </c>
      <c r="H163" s="1">
        <v>22580</v>
      </c>
      <c r="I163" s="1">
        <v>1950</v>
      </c>
      <c r="J163" s="1">
        <v>0</v>
      </c>
      <c r="K163" s="1" t="str">
        <f>_xlfn.XLOOKUP(B163,'June 2025'!B:B,'June 2025'!K:K)</f>
        <v>L-5</v>
      </c>
    </row>
    <row r="164" spans="1:11" x14ac:dyDescent="0.3">
      <c r="A164" s="1">
        <v>164</v>
      </c>
      <c r="B164" s="1">
        <v>101</v>
      </c>
      <c r="C164" s="1" t="s">
        <v>27</v>
      </c>
      <c r="D164" s="1" t="s">
        <v>564</v>
      </c>
      <c r="E164" s="1" t="s">
        <v>10</v>
      </c>
      <c r="F164" s="1" t="str">
        <f>_xlfn.XLOOKUP(B164,'June 2025'!B:B,'June 2025'!F:F)</f>
        <v>Domestic</v>
      </c>
      <c r="G164" s="1">
        <v>13500</v>
      </c>
      <c r="H164" s="1">
        <v>42095</v>
      </c>
      <c r="I164" s="1">
        <v>0</v>
      </c>
      <c r="J164" s="1">
        <v>0</v>
      </c>
      <c r="K164" s="1" t="str">
        <f>_xlfn.XLOOKUP(B164,'June 2025'!B:B,'June 2025'!K:K)</f>
        <v>L-7</v>
      </c>
    </row>
    <row r="165" spans="1:11" x14ac:dyDescent="0.3">
      <c r="A165" s="1">
        <v>165</v>
      </c>
      <c r="B165" s="1">
        <v>10170</v>
      </c>
      <c r="C165" s="1" t="s">
        <v>335</v>
      </c>
      <c r="D165" s="1" t="s">
        <v>565</v>
      </c>
      <c r="E165" s="1" t="s">
        <v>267</v>
      </c>
      <c r="F165" s="1" t="s">
        <v>501</v>
      </c>
      <c r="G165" s="1">
        <v>14000</v>
      </c>
      <c r="H165" s="1">
        <v>0</v>
      </c>
      <c r="I165" s="1">
        <v>0</v>
      </c>
      <c r="J165" s="1">
        <v>0</v>
      </c>
      <c r="K165" s="1" t="s">
        <v>556</v>
      </c>
    </row>
    <row r="166" spans="1:11" x14ac:dyDescent="0.3">
      <c r="A166" s="1">
        <v>166</v>
      </c>
      <c r="B166" s="1">
        <v>10171</v>
      </c>
      <c r="C166" s="1" t="s">
        <v>336</v>
      </c>
      <c r="D166" s="1" t="s">
        <v>565</v>
      </c>
      <c r="E166" s="1" t="s">
        <v>10</v>
      </c>
      <c r="F166" s="1" t="s">
        <v>501</v>
      </c>
      <c r="G166" s="1">
        <v>19500</v>
      </c>
      <c r="H166" s="1">
        <v>7225</v>
      </c>
      <c r="I166" s="1">
        <v>0</v>
      </c>
      <c r="J166" s="1">
        <v>0</v>
      </c>
      <c r="K166" s="1" t="s">
        <v>555</v>
      </c>
    </row>
    <row r="167" spans="1:11" x14ac:dyDescent="0.3">
      <c r="A167" s="1">
        <v>167</v>
      </c>
      <c r="B167" s="1">
        <v>10172</v>
      </c>
      <c r="C167" s="1" t="s">
        <v>337</v>
      </c>
      <c r="D167" s="1" t="s">
        <v>565</v>
      </c>
      <c r="E167" s="1" t="s">
        <v>35</v>
      </c>
      <c r="F167" s="1" t="str">
        <f>_xlfn.XLOOKUP(B167,'June 2025'!B:B,'June 2025'!F:F)</f>
        <v>Manufacturing</v>
      </c>
      <c r="G167" s="1">
        <v>12500</v>
      </c>
      <c r="H167" s="1">
        <v>18242</v>
      </c>
      <c r="I167" s="1">
        <v>0</v>
      </c>
      <c r="J167" s="1">
        <v>0</v>
      </c>
      <c r="K167" s="1" t="str">
        <f>_xlfn.XLOOKUP(B167,'June 2025'!B:B,'June 2025'!K:K)</f>
        <v>L-9</v>
      </c>
    </row>
    <row r="168" spans="1:11" x14ac:dyDescent="0.3">
      <c r="A168" s="1">
        <v>168</v>
      </c>
      <c r="B168" s="1">
        <v>10173</v>
      </c>
      <c r="C168" s="1" t="s">
        <v>338</v>
      </c>
      <c r="D168" s="1" t="s">
        <v>565</v>
      </c>
      <c r="E168" s="1" t="s">
        <v>53</v>
      </c>
      <c r="F168" s="1" t="str">
        <f>_xlfn.XLOOKUP(B168,'June 2025'!B:B,'June 2025'!F:F)</f>
        <v>Manufacturing</v>
      </c>
      <c r="G168" s="1">
        <v>14000</v>
      </c>
      <c r="H168" s="1">
        <v>11693</v>
      </c>
      <c r="I168" s="1">
        <v>0</v>
      </c>
      <c r="J168" s="1">
        <v>0</v>
      </c>
      <c r="K168" s="1" t="str">
        <f>_xlfn.XLOOKUP(B168,'June 2025'!B:B,'June 2025'!K:K)</f>
        <v>L-10</v>
      </c>
    </row>
    <row r="169" spans="1:11" x14ac:dyDescent="0.3">
      <c r="A169" s="1">
        <v>169</v>
      </c>
      <c r="B169" s="1">
        <v>10175</v>
      </c>
      <c r="C169" s="1" t="s">
        <v>340</v>
      </c>
      <c r="D169" s="1" t="s">
        <v>565</v>
      </c>
      <c r="E169" s="1" t="s">
        <v>55</v>
      </c>
      <c r="F169" s="1" t="s">
        <v>501</v>
      </c>
      <c r="G169" s="1">
        <v>13500</v>
      </c>
      <c r="H169" s="1">
        <v>2484</v>
      </c>
      <c r="I169" s="1">
        <v>0</v>
      </c>
      <c r="J169" s="1">
        <v>0</v>
      </c>
      <c r="K169" s="1" t="s">
        <v>554</v>
      </c>
    </row>
    <row r="170" spans="1:11" x14ac:dyDescent="0.3">
      <c r="A170" s="1">
        <v>170</v>
      </c>
      <c r="B170" s="1">
        <v>10176</v>
      </c>
      <c r="C170" s="1" t="s">
        <v>341</v>
      </c>
      <c r="D170" s="1" t="s">
        <v>565</v>
      </c>
      <c r="E170" s="1" t="s">
        <v>53</v>
      </c>
      <c r="F170" s="1" t="str">
        <f>_xlfn.XLOOKUP(B170,'June 2025'!B:B,'June 2025'!F:F)</f>
        <v>Manufacturing</v>
      </c>
      <c r="G170" s="1">
        <v>11000</v>
      </c>
      <c r="H170" s="1">
        <v>13065</v>
      </c>
      <c r="I170" s="1">
        <v>0</v>
      </c>
      <c r="J170" s="1">
        <v>0</v>
      </c>
      <c r="K170" s="1" t="str">
        <f>_xlfn.XLOOKUP(B170,'June 2025'!B:B,'June 2025'!K:K)</f>
        <v>L-10</v>
      </c>
    </row>
    <row r="171" spans="1:11" x14ac:dyDescent="0.3">
      <c r="A171" s="1">
        <v>171</v>
      </c>
      <c r="B171" s="1">
        <v>10177</v>
      </c>
      <c r="C171" s="1" t="s">
        <v>342</v>
      </c>
      <c r="D171" s="1" t="s">
        <v>565</v>
      </c>
      <c r="E171" s="1" t="s">
        <v>61</v>
      </c>
      <c r="F171" s="1" t="str">
        <f>_xlfn.XLOOKUP(B171,'June 2025'!B:B,'June 2025'!F:F)</f>
        <v>Manufacturing</v>
      </c>
      <c r="G171" s="1">
        <v>12500</v>
      </c>
      <c r="H171" s="1">
        <v>9580</v>
      </c>
      <c r="I171" s="1">
        <v>0</v>
      </c>
      <c r="J171" s="1">
        <v>0</v>
      </c>
      <c r="K171" s="1" t="str">
        <f>_xlfn.XLOOKUP(B171,'June 2025'!B:B,'June 2025'!K:K)</f>
        <v>L-9</v>
      </c>
    </row>
    <row r="172" spans="1:11" x14ac:dyDescent="0.3">
      <c r="A172" s="1">
        <v>172</v>
      </c>
      <c r="B172" s="1">
        <v>10178</v>
      </c>
      <c r="C172" s="1" t="s">
        <v>343</v>
      </c>
      <c r="D172" s="1" t="s">
        <v>565</v>
      </c>
      <c r="E172" s="1" t="s">
        <v>61</v>
      </c>
      <c r="F172" s="1" t="str">
        <f>_xlfn.XLOOKUP(B172,'June 2025'!B:B,'June 2025'!F:F)</f>
        <v>Manufacturing</v>
      </c>
      <c r="G172" s="1">
        <v>12500</v>
      </c>
      <c r="H172" s="1">
        <v>9275</v>
      </c>
      <c r="I172" s="1">
        <v>0</v>
      </c>
      <c r="J172" s="1">
        <v>0</v>
      </c>
      <c r="K172" s="1" t="str">
        <f>_xlfn.XLOOKUP(B172,'June 2025'!B:B,'June 2025'!K:K)</f>
        <v>L-9</v>
      </c>
    </row>
    <row r="173" spans="1:11" x14ac:dyDescent="0.3">
      <c r="A173" s="1">
        <v>173</v>
      </c>
      <c r="B173" s="1">
        <v>10179</v>
      </c>
      <c r="C173" s="1" t="s">
        <v>344</v>
      </c>
      <c r="D173" s="1" t="s">
        <v>564</v>
      </c>
      <c r="E173" s="1" t="s">
        <v>10</v>
      </c>
      <c r="F173" s="1" t="s">
        <v>504</v>
      </c>
      <c r="G173" s="1">
        <v>16000</v>
      </c>
      <c r="H173" s="1">
        <v>3629</v>
      </c>
      <c r="I173" s="1">
        <v>1188</v>
      </c>
      <c r="J173" s="1">
        <v>495</v>
      </c>
      <c r="K173" s="1" t="s">
        <v>555</v>
      </c>
    </row>
    <row r="174" spans="1:11" x14ac:dyDescent="0.3">
      <c r="A174" s="1">
        <v>174</v>
      </c>
      <c r="B174" s="1">
        <v>10180</v>
      </c>
      <c r="C174" s="1" t="s">
        <v>345</v>
      </c>
      <c r="D174" s="1" t="s">
        <v>565</v>
      </c>
      <c r="E174" s="1" t="s">
        <v>53</v>
      </c>
      <c r="F174" s="1" t="str">
        <f>_xlfn.XLOOKUP(B174,'June 2025'!B:B,'June 2025'!F:F)</f>
        <v>Overseas</v>
      </c>
      <c r="G174" s="1">
        <v>14000</v>
      </c>
      <c r="H174" s="1">
        <v>15225</v>
      </c>
      <c r="I174" s="1">
        <v>0</v>
      </c>
      <c r="J174" s="1">
        <v>0</v>
      </c>
      <c r="K174" s="1" t="str">
        <f>_xlfn.XLOOKUP(B174,'June 2025'!B:B,'June 2025'!K:K)</f>
        <v>L-10</v>
      </c>
    </row>
    <row r="175" spans="1:11" x14ac:dyDescent="0.3">
      <c r="A175" s="1">
        <v>175</v>
      </c>
      <c r="B175" s="1">
        <v>10181</v>
      </c>
      <c r="C175" s="1" t="s">
        <v>127</v>
      </c>
      <c r="D175" s="1" t="s">
        <v>565</v>
      </c>
      <c r="E175" s="1" t="s">
        <v>346</v>
      </c>
      <c r="F175" s="1" t="s">
        <v>547</v>
      </c>
      <c r="G175" s="1">
        <v>12500</v>
      </c>
      <c r="H175" s="1">
        <v>14000</v>
      </c>
      <c r="I175" s="1">
        <v>0</v>
      </c>
      <c r="J175" s="1">
        <v>0</v>
      </c>
      <c r="K175" s="1" t="s">
        <v>557</v>
      </c>
    </row>
    <row r="176" spans="1:11" x14ac:dyDescent="0.3">
      <c r="A176" s="1">
        <v>176</v>
      </c>
      <c r="B176" s="1">
        <v>103</v>
      </c>
      <c r="C176" s="1" t="s">
        <v>347</v>
      </c>
      <c r="D176" s="1" t="s">
        <v>564</v>
      </c>
      <c r="E176" s="1" t="s">
        <v>67</v>
      </c>
      <c r="F176" s="1" t="str">
        <f>_xlfn.XLOOKUP(B176,'June 2025'!B:B,'June 2025'!F:F)</f>
        <v>Manufacturing</v>
      </c>
      <c r="G176" s="1">
        <v>30000</v>
      </c>
      <c r="H176" s="1">
        <v>0</v>
      </c>
      <c r="I176" s="1">
        <v>0</v>
      </c>
      <c r="J176" s="1">
        <v>0</v>
      </c>
      <c r="K176" s="1" t="str">
        <f>_xlfn.XLOOKUP(B176,'June 2025'!B:B,'June 2025'!K:K)</f>
        <v>L-9</v>
      </c>
    </row>
    <row r="177" spans="1:11" x14ac:dyDescent="0.3">
      <c r="A177" s="1">
        <v>177</v>
      </c>
      <c r="B177" s="1">
        <v>114</v>
      </c>
      <c r="C177" s="1" t="s">
        <v>348</v>
      </c>
      <c r="D177" s="1" t="s">
        <v>564</v>
      </c>
      <c r="E177" s="1" t="s">
        <v>67</v>
      </c>
      <c r="F177" s="1" t="str">
        <f>_xlfn.XLOOKUP(B177,'June 2025'!B:B,'June 2025'!F:F)</f>
        <v>Manufacturing</v>
      </c>
      <c r="G177" s="1">
        <v>30000</v>
      </c>
      <c r="H177" s="1">
        <v>29477</v>
      </c>
      <c r="I177" s="1">
        <v>0</v>
      </c>
      <c r="J177" s="1">
        <v>0</v>
      </c>
      <c r="K177" s="1" t="str">
        <f>_xlfn.XLOOKUP(B177,'June 2025'!B:B,'June 2025'!K:K)</f>
        <v>L-9</v>
      </c>
    </row>
    <row r="178" spans="1:11" x14ac:dyDescent="0.3">
      <c r="A178" s="1">
        <v>178</v>
      </c>
      <c r="B178" s="1">
        <v>10182</v>
      </c>
      <c r="C178" s="1" t="s">
        <v>350</v>
      </c>
      <c r="D178" s="1" t="s">
        <v>565</v>
      </c>
      <c r="E178" s="1" t="s">
        <v>53</v>
      </c>
      <c r="F178" s="1" t="str">
        <f>_xlfn.XLOOKUP(B178,'June 2025'!B:B,'June 2025'!F:F)</f>
        <v>Domestic</v>
      </c>
      <c r="G178" s="1">
        <v>13000</v>
      </c>
      <c r="H178" s="1">
        <v>12580</v>
      </c>
      <c r="I178" s="1">
        <v>0</v>
      </c>
      <c r="J178" s="1">
        <v>0</v>
      </c>
      <c r="K178" s="1" t="str">
        <f>_xlfn.XLOOKUP(B178,'June 2025'!B:B,'June 2025'!K:K)</f>
        <v>L-10</v>
      </c>
    </row>
    <row r="179" spans="1:11" x14ac:dyDescent="0.3">
      <c r="A179" s="1">
        <v>179</v>
      </c>
      <c r="B179" s="1">
        <v>10183</v>
      </c>
      <c r="C179" s="1" t="s">
        <v>351</v>
      </c>
      <c r="D179" s="1" t="s">
        <v>565</v>
      </c>
      <c r="E179" s="1" t="s">
        <v>53</v>
      </c>
      <c r="F179" s="1" t="str">
        <f>_xlfn.XLOOKUP(B179,'June 2025'!B:B,'June 2025'!F:F)</f>
        <v>Manufacturing</v>
      </c>
      <c r="G179" s="1">
        <v>11500</v>
      </c>
      <c r="H179" s="1">
        <v>10573</v>
      </c>
      <c r="I179" s="1">
        <v>0</v>
      </c>
      <c r="J179" s="1">
        <v>0</v>
      </c>
      <c r="K179" s="1" t="str">
        <f>_xlfn.XLOOKUP(B179,'June 2025'!B:B,'June 2025'!K:K)</f>
        <v>L-9</v>
      </c>
    </row>
    <row r="180" spans="1:11" x14ac:dyDescent="0.3">
      <c r="A180" s="1">
        <v>180</v>
      </c>
      <c r="B180" s="1">
        <v>10184</v>
      </c>
      <c r="C180" s="1" t="s">
        <v>352</v>
      </c>
      <c r="D180" s="1" t="s">
        <v>565</v>
      </c>
      <c r="E180" s="1" t="s">
        <v>35</v>
      </c>
      <c r="F180" s="1" t="str">
        <f>_xlfn.XLOOKUP(B180,'June 2025'!B:B,'June 2025'!F:F)</f>
        <v>Manufacturing</v>
      </c>
      <c r="G180" s="1">
        <v>11500</v>
      </c>
      <c r="H180" s="1">
        <v>7048</v>
      </c>
      <c r="I180" s="1">
        <v>0</v>
      </c>
      <c r="J180" s="1">
        <v>0</v>
      </c>
      <c r="K180" s="1" t="str">
        <f>_xlfn.XLOOKUP(B180,'June 2025'!B:B,'June 2025'!K:K)</f>
        <v>L-9</v>
      </c>
    </row>
    <row r="181" spans="1:11" x14ac:dyDescent="0.3">
      <c r="A181" s="1">
        <v>181</v>
      </c>
      <c r="B181" s="1">
        <v>10185</v>
      </c>
      <c r="C181" s="1" t="s">
        <v>353</v>
      </c>
      <c r="D181" s="1" t="s">
        <v>565</v>
      </c>
      <c r="E181" s="1" t="s">
        <v>35</v>
      </c>
      <c r="F181" s="1" t="str">
        <f>_xlfn.XLOOKUP(B181,'June 2025'!B:B,'June 2025'!F:F)</f>
        <v>Manufacturing</v>
      </c>
      <c r="G181" s="1">
        <v>13500</v>
      </c>
      <c r="H181" s="1">
        <v>8275</v>
      </c>
      <c r="I181" s="1">
        <v>0</v>
      </c>
      <c r="J181" s="1">
        <v>0</v>
      </c>
      <c r="K181" s="1" t="str">
        <f>_xlfn.XLOOKUP(B181,'June 2025'!B:B,'June 2025'!K:K)</f>
        <v>L-9</v>
      </c>
    </row>
    <row r="182" spans="1:11" x14ac:dyDescent="0.3">
      <c r="A182" s="1">
        <v>182</v>
      </c>
      <c r="B182" s="1">
        <v>10186</v>
      </c>
      <c r="C182" s="1" t="s">
        <v>354</v>
      </c>
      <c r="D182" s="1" t="s">
        <v>565</v>
      </c>
      <c r="E182" s="1" t="s">
        <v>35</v>
      </c>
      <c r="F182" s="1" t="str">
        <f>_xlfn.XLOOKUP(B182,'June 2025'!B:B,'June 2025'!F:F)</f>
        <v>Manufacturing</v>
      </c>
      <c r="G182" s="1">
        <v>12000</v>
      </c>
      <c r="H182" s="1">
        <v>4645</v>
      </c>
      <c r="I182" s="1">
        <v>0</v>
      </c>
      <c r="J182" s="1">
        <v>0</v>
      </c>
      <c r="K182" s="1" t="str">
        <f>_xlfn.XLOOKUP(B182,'June 2025'!B:B,'June 2025'!K:K)</f>
        <v>L-9</v>
      </c>
    </row>
    <row r="183" spans="1:11" x14ac:dyDescent="0.3">
      <c r="A183" s="1">
        <v>183</v>
      </c>
      <c r="B183" s="1">
        <v>10187</v>
      </c>
      <c r="C183" s="1" t="s">
        <v>43</v>
      </c>
      <c r="D183" s="1" t="s">
        <v>565</v>
      </c>
      <c r="E183" s="1" t="s">
        <v>35</v>
      </c>
      <c r="F183" s="1" t="str">
        <f>_xlfn.XLOOKUP(B183,'June 2025'!B:B,'June 2025'!F:F)</f>
        <v>Manufacturing</v>
      </c>
      <c r="G183" s="1">
        <v>12000</v>
      </c>
      <c r="H183" s="1">
        <v>4838</v>
      </c>
      <c r="I183" s="1">
        <v>0</v>
      </c>
      <c r="J183" s="1">
        <v>0</v>
      </c>
      <c r="K183" s="1" t="str">
        <f>_xlfn.XLOOKUP(B183,'June 2025'!B:B,'June 2025'!K:K)</f>
        <v>L-9</v>
      </c>
    </row>
    <row r="184" spans="1:11" x14ac:dyDescent="0.3">
      <c r="A184" s="1">
        <v>184</v>
      </c>
      <c r="B184" s="1">
        <v>10188</v>
      </c>
      <c r="C184" s="1" t="s">
        <v>355</v>
      </c>
      <c r="D184" s="1" t="s">
        <v>565</v>
      </c>
      <c r="E184" s="1" t="s">
        <v>35</v>
      </c>
      <c r="F184" s="1" t="str">
        <f>_xlfn.XLOOKUP(B184,'June 2025'!B:B,'June 2025'!F:F)</f>
        <v>Manufacturing</v>
      </c>
      <c r="G184" s="1">
        <v>12500</v>
      </c>
      <c r="H184" s="1">
        <v>5645</v>
      </c>
      <c r="I184" s="1">
        <v>0</v>
      </c>
      <c r="J184" s="1">
        <v>0</v>
      </c>
      <c r="K184" s="1" t="str">
        <f>_xlfn.XLOOKUP(B184,'June 2025'!B:B,'June 2025'!K:K)</f>
        <v>L-9</v>
      </c>
    </row>
    <row r="185" spans="1:11" x14ac:dyDescent="0.3">
      <c r="A185" s="1">
        <v>185</v>
      </c>
      <c r="B185" s="1">
        <v>10189</v>
      </c>
      <c r="C185" s="1" t="s">
        <v>356</v>
      </c>
      <c r="D185" s="1" t="s">
        <v>565</v>
      </c>
      <c r="E185" s="1" t="s">
        <v>35</v>
      </c>
      <c r="F185" s="1" t="str">
        <f>_xlfn.XLOOKUP(B185,'June 2025'!B:B,'June 2025'!F:F)</f>
        <v>Manufacturing</v>
      </c>
      <c r="G185" s="1">
        <v>13000</v>
      </c>
      <c r="H185" s="1">
        <v>3775</v>
      </c>
      <c r="I185" s="1">
        <v>0</v>
      </c>
      <c r="J185" s="1">
        <v>0</v>
      </c>
      <c r="K185" s="1" t="str">
        <f>_xlfn.XLOOKUP(B185,'June 2025'!B:B,'June 2025'!K:K)</f>
        <v>L-9</v>
      </c>
    </row>
    <row r="186" spans="1:11" x14ac:dyDescent="0.3">
      <c r="A186" s="1">
        <v>186</v>
      </c>
      <c r="B186" s="1">
        <v>10190</v>
      </c>
      <c r="C186" s="1" t="s">
        <v>357</v>
      </c>
      <c r="D186" s="1" t="s">
        <v>565</v>
      </c>
      <c r="E186" s="1" t="s">
        <v>61</v>
      </c>
      <c r="F186" s="1" t="str">
        <f>_xlfn.XLOOKUP(B186,'June 2025'!B:B,'June 2025'!F:F)</f>
        <v>Manufacturing</v>
      </c>
      <c r="G186" s="1">
        <v>12500</v>
      </c>
      <c r="H186" s="1">
        <v>3629</v>
      </c>
      <c r="I186" s="1">
        <v>0</v>
      </c>
      <c r="J186" s="1">
        <v>0</v>
      </c>
      <c r="K186" s="1" t="str">
        <f>_xlfn.XLOOKUP(B186,'June 2025'!B:B,'June 2025'!K:K)</f>
        <v>L-9</v>
      </c>
    </row>
    <row r="187" spans="1:11" x14ac:dyDescent="0.3">
      <c r="A187" s="1">
        <v>187</v>
      </c>
      <c r="B187" s="1">
        <v>10191</v>
      </c>
      <c r="C187" s="1" t="s">
        <v>358</v>
      </c>
      <c r="D187" s="1" t="s">
        <v>565</v>
      </c>
      <c r="E187" s="1" t="s">
        <v>53</v>
      </c>
      <c r="F187" s="1" t="str">
        <f>_xlfn.XLOOKUP(B187,'June 2025'!B:B,'June 2025'!F:F)</f>
        <v>Domestic</v>
      </c>
      <c r="G187" s="1">
        <v>11500</v>
      </c>
      <c r="H187" s="1">
        <v>3338</v>
      </c>
      <c r="I187" s="1">
        <v>0</v>
      </c>
      <c r="J187" s="1">
        <v>0</v>
      </c>
      <c r="K187" s="1" t="str">
        <f>_xlfn.XLOOKUP(B187,'June 2025'!B:B,'June 2025'!K:K)</f>
        <v>L-10</v>
      </c>
    </row>
    <row r="188" spans="1:11" x14ac:dyDescent="0.3">
      <c r="A188" s="1">
        <v>188</v>
      </c>
      <c r="B188" s="1">
        <v>10192</v>
      </c>
      <c r="C188" s="1" t="s">
        <v>238</v>
      </c>
      <c r="D188" s="1" t="s">
        <v>565</v>
      </c>
      <c r="E188" s="1" t="s">
        <v>35</v>
      </c>
      <c r="F188" s="1" t="str">
        <f>_xlfn.XLOOKUP(B188,'June 2025'!B:B,'June 2025'!F:F)</f>
        <v>Manufacturing</v>
      </c>
      <c r="G188" s="1">
        <v>10500</v>
      </c>
      <c r="H188" s="1">
        <v>1693</v>
      </c>
      <c r="I188" s="1">
        <v>0</v>
      </c>
      <c r="J188" s="1">
        <v>0</v>
      </c>
      <c r="K188" s="1" t="str">
        <f>_xlfn.XLOOKUP(B188,'June 2025'!B:B,'June 2025'!K:K)</f>
        <v>L-9</v>
      </c>
    </row>
    <row r="189" spans="1:11" x14ac:dyDescent="0.3">
      <c r="A189" s="1">
        <v>189</v>
      </c>
      <c r="B189" s="1">
        <v>10193</v>
      </c>
      <c r="C189" s="1" t="s">
        <v>359</v>
      </c>
      <c r="D189" s="1" t="s">
        <v>565</v>
      </c>
      <c r="E189" s="1" t="s">
        <v>55</v>
      </c>
      <c r="F189" s="1" t="s">
        <v>501</v>
      </c>
      <c r="G189" s="1">
        <v>13000</v>
      </c>
      <c r="H189" s="1">
        <v>12580</v>
      </c>
      <c r="I189" s="1">
        <v>0</v>
      </c>
      <c r="J189" s="1">
        <v>0</v>
      </c>
      <c r="K189" s="1" t="s">
        <v>554</v>
      </c>
    </row>
    <row r="190" spans="1:11" x14ac:dyDescent="0.3">
      <c r="A190" s="1">
        <v>190</v>
      </c>
      <c r="B190" s="1">
        <v>10194</v>
      </c>
      <c r="C190" s="1" t="s">
        <v>360</v>
      </c>
      <c r="D190" s="1" t="s">
        <v>565</v>
      </c>
      <c r="E190" s="1" t="s">
        <v>361</v>
      </c>
      <c r="F190" s="1" t="str">
        <f>_xlfn.XLOOKUP(B190,'June 2025'!B:B,'June 2025'!F:F)</f>
        <v>Office Support</v>
      </c>
      <c r="G190" s="1">
        <v>15500</v>
      </c>
      <c r="H190" s="1">
        <v>9000</v>
      </c>
      <c r="I190" s="1">
        <v>0</v>
      </c>
      <c r="J190" s="1">
        <v>0</v>
      </c>
      <c r="K190" s="1" t="str">
        <f>_xlfn.XLOOKUP(B190,'June 2025'!B:B,'June 2025'!K:K)</f>
        <v>L-9</v>
      </c>
    </row>
    <row r="191" spans="1:11" x14ac:dyDescent="0.3">
      <c r="A191" s="1">
        <v>191</v>
      </c>
      <c r="B191" s="1">
        <v>109</v>
      </c>
      <c r="C191" s="1" t="s">
        <v>362</v>
      </c>
      <c r="D191" s="1" t="s">
        <v>564</v>
      </c>
      <c r="E191" s="1" t="s">
        <v>76</v>
      </c>
      <c r="F191" s="1" t="str">
        <f>_xlfn.XLOOKUP(B191,'June 2025'!B:B,'June 2025'!F:F)</f>
        <v>D2C</v>
      </c>
      <c r="G191" s="1">
        <v>15000</v>
      </c>
      <c r="H191" s="1">
        <v>5323</v>
      </c>
      <c r="I191" s="1">
        <v>415</v>
      </c>
      <c r="J191" s="1">
        <v>173</v>
      </c>
      <c r="K191" s="1" t="str">
        <f>_xlfn.XLOOKUP(B191,'June 2025'!B:B,'June 2025'!K:K)</f>
        <v>L-6</v>
      </c>
    </row>
    <row r="192" spans="1:11" x14ac:dyDescent="0.3">
      <c r="A192" s="1">
        <v>192</v>
      </c>
      <c r="B192" s="1">
        <v>5000</v>
      </c>
      <c r="C192" s="1" t="s">
        <v>363</v>
      </c>
      <c r="D192" s="1" t="s">
        <v>564</v>
      </c>
      <c r="E192" s="1" t="s">
        <v>286</v>
      </c>
      <c r="F192" s="1" t="str">
        <f>_xlfn.XLOOKUP(B192,'June 2025'!B:B,'June 2025'!F:F)</f>
        <v xml:space="preserve">Admin </v>
      </c>
      <c r="G192" s="1">
        <v>5000</v>
      </c>
      <c r="H192" s="1">
        <v>4032</v>
      </c>
      <c r="I192" s="1">
        <v>0</v>
      </c>
      <c r="J192" s="1">
        <v>132</v>
      </c>
      <c r="K192" s="1" t="str">
        <f>_xlfn.XLOOKUP(B192,'June 2025'!B:B,'June 2025'!K:K)</f>
        <v>L-7</v>
      </c>
    </row>
    <row r="193" spans="1:11" x14ac:dyDescent="0.3">
      <c r="A193" s="1">
        <v>193</v>
      </c>
      <c r="B193" s="1">
        <v>5002</v>
      </c>
      <c r="C193" s="1" t="s">
        <v>364</v>
      </c>
      <c r="D193" s="1" t="s">
        <v>564</v>
      </c>
      <c r="E193" s="1" t="s">
        <v>286</v>
      </c>
      <c r="F193" s="1" t="str">
        <f>_xlfn.XLOOKUP(B193,'June 2025'!B:B,'June 2025'!F:F)</f>
        <v xml:space="preserve">Admin </v>
      </c>
      <c r="G193" s="1">
        <v>5000</v>
      </c>
      <c r="H193" s="1">
        <v>2903</v>
      </c>
      <c r="I193" s="1">
        <v>0</v>
      </c>
      <c r="J193" s="1">
        <v>95</v>
      </c>
      <c r="K193" s="1" t="str">
        <f>_xlfn.XLOOKUP(B193,'June 2025'!B:B,'June 2025'!K:K)</f>
        <v>L-7</v>
      </c>
    </row>
    <row r="194" spans="1:11" x14ac:dyDescent="0.3">
      <c r="A194" s="1">
        <v>194</v>
      </c>
      <c r="B194" s="1">
        <v>5003</v>
      </c>
      <c r="C194" s="1" t="s">
        <v>365</v>
      </c>
      <c r="D194" s="1" t="s">
        <v>564</v>
      </c>
      <c r="E194" s="1" t="s">
        <v>286</v>
      </c>
      <c r="F194" s="1" t="str">
        <f>_xlfn.XLOOKUP(B194,'June 2025'!B:B,'June 2025'!F:F)</f>
        <v>D2C</v>
      </c>
      <c r="G194" s="1">
        <v>5000</v>
      </c>
      <c r="H194" s="1">
        <v>4032</v>
      </c>
      <c r="I194" s="1">
        <v>0</v>
      </c>
      <c r="J194" s="1">
        <v>132</v>
      </c>
      <c r="K194" s="1" t="str">
        <f>_xlfn.XLOOKUP(B194,'June 2025'!B:B,'June 2025'!K:K)</f>
        <v>L-7</v>
      </c>
    </row>
    <row r="195" spans="1:11" x14ac:dyDescent="0.3">
      <c r="A195" s="1">
        <v>195</v>
      </c>
      <c r="B195" s="1">
        <v>5001</v>
      </c>
      <c r="C195" s="1" t="s">
        <v>367</v>
      </c>
      <c r="D195" s="1" t="s">
        <v>564</v>
      </c>
      <c r="E195" s="1" t="s">
        <v>286</v>
      </c>
      <c r="F195" s="1" t="s">
        <v>499</v>
      </c>
      <c r="G195" s="1">
        <v>5000</v>
      </c>
      <c r="H195" s="1">
        <v>3952</v>
      </c>
      <c r="I195" s="1">
        <v>0</v>
      </c>
      <c r="J195" s="1">
        <v>129</v>
      </c>
      <c r="K195" s="1" t="s">
        <v>554</v>
      </c>
    </row>
    <row r="196" spans="1:11" x14ac:dyDescent="0.3">
      <c r="A196" s="1">
        <v>196</v>
      </c>
      <c r="B196" s="1">
        <v>10195</v>
      </c>
      <c r="C196" s="1" t="s">
        <v>358</v>
      </c>
      <c r="D196" s="1" t="s">
        <v>565</v>
      </c>
      <c r="E196" s="1" t="s">
        <v>35</v>
      </c>
      <c r="F196" s="1" t="str">
        <f>_xlfn.XLOOKUP(B196,'June 2025'!B:B,'June 2025'!F:F)</f>
        <v>Domestic</v>
      </c>
      <c r="G196" s="1">
        <v>12000</v>
      </c>
      <c r="H196" s="1">
        <v>3097</v>
      </c>
      <c r="I196" s="1">
        <v>0</v>
      </c>
      <c r="J196" s="1">
        <v>0</v>
      </c>
      <c r="K196" s="1" t="str">
        <f>_xlfn.XLOOKUP(B196,'June 2025'!B:B,'June 2025'!K:K)</f>
        <v>L-9</v>
      </c>
    </row>
    <row r="197" spans="1:11" x14ac:dyDescent="0.3">
      <c r="A197" s="1">
        <v>197</v>
      </c>
      <c r="B197" s="1">
        <v>10196</v>
      </c>
      <c r="C197" s="1" t="s">
        <v>368</v>
      </c>
      <c r="D197" s="1" t="s">
        <v>565</v>
      </c>
      <c r="E197" s="1" t="s">
        <v>35</v>
      </c>
      <c r="F197" s="1" t="str">
        <f>_xlfn.XLOOKUP(B197,'June 2025'!B:B,'June 2025'!F:F)</f>
        <v>Manufacturing</v>
      </c>
      <c r="G197" s="1">
        <v>12500</v>
      </c>
      <c r="H197" s="1">
        <v>3225</v>
      </c>
      <c r="I197" s="1">
        <v>0</v>
      </c>
      <c r="J197" s="1">
        <v>0</v>
      </c>
      <c r="K197" s="1" t="str">
        <f>_xlfn.XLOOKUP(B197,'June 2025'!B:B,'June 2025'!K:K)</f>
        <v>L-9</v>
      </c>
    </row>
    <row r="198" spans="1:11" x14ac:dyDescent="0.3">
      <c r="A198" s="1">
        <v>198</v>
      </c>
      <c r="B198" s="1">
        <v>110</v>
      </c>
      <c r="C198" s="1" t="s">
        <v>369</v>
      </c>
      <c r="D198" s="1" t="s">
        <v>564</v>
      </c>
      <c r="E198" s="1" t="s">
        <v>10</v>
      </c>
      <c r="F198" s="1" t="str">
        <f>_xlfn.XLOOKUP(B198,'June 2025'!B:B,'June 2025'!F:F)</f>
        <v xml:space="preserve">Admin </v>
      </c>
      <c r="G198" s="1">
        <v>23168</v>
      </c>
      <c r="H198" s="1">
        <v>4484</v>
      </c>
      <c r="I198" s="1">
        <v>350</v>
      </c>
      <c r="J198" s="1">
        <v>0</v>
      </c>
      <c r="K198" s="1" t="str">
        <f>_xlfn.XLOOKUP(B198,'June 2025'!B:B,'June 2025'!K:K)</f>
        <v>L-6</v>
      </c>
    </row>
    <row r="199" spans="1:11" x14ac:dyDescent="0.3">
      <c r="A199" s="1">
        <v>199</v>
      </c>
      <c r="B199" s="1">
        <v>105</v>
      </c>
      <c r="C199" s="1" t="s">
        <v>370</v>
      </c>
      <c r="D199" s="1" t="s">
        <v>564</v>
      </c>
      <c r="E199" s="1" t="s">
        <v>42</v>
      </c>
      <c r="F199" s="1" t="str">
        <f>_xlfn.XLOOKUP(B199,'June 2025'!B:B,'June 2025'!F:F)</f>
        <v>Domestic</v>
      </c>
      <c r="G199" s="1">
        <v>41800</v>
      </c>
      <c r="H199" s="1">
        <v>31013</v>
      </c>
      <c r="I199" s="1">
        <v>1950</v>
      </c>
      <c r="J199" s="1">
        <v>0</v>
      </c>
      <c r="K199" s="1" t="str">
        <f>_xlfn.XLOOKUP(B199,'June 2025'!B:B,'June 2025'!K:K)</f>
        <v>L-5</v>
      </c>
    </row>
    <row r="200" spans="1:11" x14ac:dyDescent="0.3">
      <c r="A200" s="1">
        <v>200</v>
      </c>
      <c r="B200" s="1">
        <v>108</v>
      </c>
      <c r="C200" s="1" t="s">
        <v>371</v>
      </c>
      <c r="D200" s="1" t="s">
        <v>564</v>
      </c>
      <c r="E200" s="1" t="s">
        <v>47</v>
      </c>
      <c r="F200" s="1" t="str">
        <f>_xlfn.XLOOKUP(B200,'June 2025'!B:B,'June 2025'!F:F)</f>
        <v>D2C</v>
      </c>
      <c r="G200" s="1">
        <v>50000</v>
      </c>
      <c r="H200" s="1">
        <v>25807</v>
      </c>
      <c r="I200" s="1">
        <v>1950</v>
      </c>
      <c r="J200" s="1">
        <v>0</v>
      </c>
      <c r="K200" s="1" t="str">
        <f>_xlfn.XLOOKUP(B200,'June 2025'!B:B,'June 2025'!K:K)</f>
        <v>L-5</v>
      </c>
    </row>
    <row r="201" spans="1:11" x14ac:dyDescent="0.3">
      <c r="A201" s="1">
        <v>201</v>
      </c>
      <c r="B201" s="1">
        <v>111</v>
      </c>
      <c r="C201" s="1" t="s">
        <v>372</v>
      </c>
      <c r="D201" s="1" t="s">
        <v>564</v>
      </c>
      <c r="E201" s="1" t="s">
        <v>67</v>
      </c>
      <c r="F201" s="1" t="str">
        <f>_xlfn.XLOOKUP(B201,'June 2025'!B:B,'June 2025'!F:F)</f>
        <v>Manufacturing</v>
      </c>
      <c r="G201" s="1">
        <v>30000</v>
      </c>
      <c r="H201" s="1">
        <v>26774</v>
      </c>
      <c r="I201" s="1">
        <v>0</v>
      </c>
      <c r="J201" s="1">
        <v>0</v>
      </c>
      <c r="K201" s="1" t="str">
        <f>_xlfn.XLOOKUP(B201,'June 2025'!B:B,'June 2025'!K:K)</f>
        <v>L-6</v>
      </c>
    </row>
    <row r="202" spans="1:11" x14ac:dyDescent="0.3">
      <c r="A202" s="1">
        <v>202</v>
      </c>
      <c r="B202" s="1">
        <v>112</v>
      </c>
      <c r="C202" s="1" t="s">
        <v>373</v>
      </c>
      <c r="D202" s="1" t="s">
        <v>564</v>
      </c>
      <c r="E202" s="1" t="s">
        <v>67</v>
      </c>
      <c r="F202" s="1" t="str">
        <f>_xlfn.XLOOKUP(B202,'June 2025'!B:B,'June 2025'!F:F)</f>
        <v>Manufacturing</v>
      </c>
      <c r="G202" s="1">
        <v>30000</v>
      </c>
      <c r="H202" s="1">
        <v>13760</v>
      </c>
      <c r="I202" s="1">
        <v>0</v>
      </c>
      <c r="J202" s="1">
        <v>0</v>
      </c>
      <c r="K202" s="1" t="str">
        <f>_xlfn.XLOOKUP(B202,'June 2025'!B:B,'June 2025'!K:K)</f>
        <v>L-5</v>
      </c>
    </row>
    <row r="203" spans="1:11" x14ac:dyDescent="0.3">
      <c r="A203" s="1">
        <v>203</v>
      </c>
      <c r="B203" s="1">
        <v>113</v>
      </c>
      <c r="C203" s="1" t="s">
        <v>374</v>
      </c>
      <c r="D203" s="1" t="s">
        <v>564</v>
      </c>
      <c r="E203" s="1" t="s">
        <v>67</v>
      </c>
      <c r="F203" s="1" t="str">
        <f>_xlfn.XLOOKUP(B203,'June 2025'!B:B,'June 2025'!F:F)</f>
        <v>Domestic</v>
      </c>
      <c r="G203" s="1">
        <v>30000</v>
      </c>
      <c r="H203" s="1">
        <v>3358</v>
      </c>
      <c r="I203" s="1">
        <v>0</v>
      </c>
      <c r="J203" s="1">
        <v>0</v>
      </c>
      <c r="K203" s="1" t="str">
        <f>_xlfn.XLOOKUP(B203,'June 2025'!B:B,'June 2025'!K:K)</f>
        <v>L-6</v>
      </c>
    </row>
    <row r="204" spans="1:11" x14ac:dyDescent="0.3">
      <c r="A204" s="1">
        <v>204</v>
      </c>
      <c r="B204" s="1">
        <v>10197</v>
      </c>
      <c r="C204" s="1" t="s">
        <v>375</v>
      </c>
      <c r="D204" s="1" t="s">
        <v>565</v>
      </c>
      <c r="E204" s="1" t="s">
        <v>53</v>
      </c>
      <c r="F204" s="1" t="str">
        <f>_xlfn.XLOOKUP(B204,'June 2025'!B:B,'June 2025'!F:F)</f>
        <v>Manufacturing</v>
      </c>
      <c r="G204" s="1">
        <v>11000</v>
      </c>
      <c r="H204" s="1">
        <v>6742</v>
      </c>
      <c r="I204" s="1">
        <v>0</v>
      </c>
      <c r="J204" s="1">
        <v>0</v>
      </c>
      <c r="K204" s="1" t="str">
        <f>_xlfn.XLOOKUP(B204,'June 2025'!B:B,'June 2025'!K:K)</f>
        <v>L-9</v>
      </c>
    </row>
    <row r="205" spans="1:11" x14ac:dyDescent="0.3">
      <c r="A205" s="1">
        <v>205</v>
      </c>
      <c r="B205" s="1">
        <v>10198</v>
      </c>
      <c r="C205" s="1" t="s">
        <v>179</v>
      </c>
      <c r="D205" s="1" t="s">
        <v>565</v>
      </c>
      <c r="E205" s="1" t="s">
        <v>35</v>
      </c>
      <c r="F205" s="1" t="str">
        <f>_xlfn.XLOOKUP(B205,'June 2025'!B:B,'June 2025'!F:F)</f>
        <v>Manufacturing</v>
      </c>
      <c r="G205" s="1">
        <v>12000</v>
      </c>
      <c r="H205" s="1">
        <v>7742</v>
      </c>
      <c r="I205" s="1">
        <v>0</v>
      </c>
      <c r="J205" s="1">
        <v>0</v>
      </c>
      <c r="K205" s="1" t="str">
        <f>_xlfn.XLOOKUP(B205,'June 2025'!B:B,'June 2025'!K:K)</f>
        <v>L-9</v>
      </c>
    </row>
    <row r="206" spans="1:11" x14ac:dyDescent="0.3">
      <c r="A206" s="1">
        <v>206</v>
      </c>
      <c r="B206" s="1">
        <v>10199</v>
      </c>
      <c r="C206" s="1" t="s">
        <v>376</v>
      </c>
      <c r="D206" s="1" t="s">
        <v>565</v>
      </c>
      <c r="E206" s="1" t="s">
        <v>88</v>
      </c>
      <c r="F206" s="1" t="str">
        <f>_xlfn.XLOOKUP(B206,'June 2025'!B:B,'June 2025'!F:F)</f>
        <v>Office Support</v>
      </c>
      <c r="G206" s="1">
        <v>8000</v>
      </c>
      <c r="H206" s="1">
        <v>7484</v>
      </c>
      <c r="I206" s="1">
        <v>0</v>
      </c>
      <c r="J206" s="1">
        <v>0</v>
      </c>
      <c r="K206" s="1" t="str">
        <f>_xlfn.XLOOKUP(B206,'June 2025'!B:B,'June 2025'!K:K)</f>
        <v>L-10</v>
      </c>
    </row>
    <row r="207" spans="1:11" x14ac:dyDescent="0.3">
      <c r="A207" s="1">
        <v>207</v>
      </c>
      <c r="B207" s="1">
        <v>104</v>
      </c>
      <c r="C207" s="1" t="s">
        <v>377</v>
      </c>
      <c r="D207" s="1" t="s">
        <v>564</v>
      </c>
      <c r="E207" s="1" t="s">
        <v>561</v>
      </c>
      <c r="F207" s="1" t="str">
        <f>_xlfn.XLOOKUP(B207,'June 2025'!B:B,'June 2025'!F:F)</f>
        <v xml:space="preserve">Admin </v>
      </c>
      <c r="G207" s="1">
        <v>24952</v>
      </c>
      <c r="H207" s="1">
        <v>17305</v>
      </c>
      <c r="I207" s="1">
        <v>1350</v>
      </c>
      <c r="J207" s="1">
        <v>0</v>
      </c>
      <c r="K207" s="1" t="str">
        <f>_xlfn.XLOOKUP(B207,'June 2025'!B:B,'June 2025'!K:K)</f>
        <v>L-5</v>
      </c>
    </row>
    <row r="209" spans="2:2" x14ac:dyDescent="0.3">
      <c r="B209" t="s">
        <v>264</v>
      </c>
    </row>
  </sheetData>
  <autoFilter ref="A1:K207" xr:uid="{1E04892C-9219-4150-8E31-C01DD96BEDC5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5034E4C-A153-48C4-8E3F-E40A78E0421A}">
          <x14:formula1>
            <xm:f>'Data Validation'!$K$1:$K$11</xm:f>
          </x14:formula1>
          <xm:sqref>K1:K1048576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97A1D-E65F-4445-839D-6199D45A8B01}">
  <dimension ref="A1:K250"/>
  <sheetViews>
    <sheetView zoomScale="73" workbookViewId="0">
      <selection activeCell="N1" sqref="N1"/>
    </sheetView>
  </sheetViews>
  <sheetFormatPr defaultRowHeight="14.4" x14ac:dyDescent="0.3"/>
  <cols>
    <col min="1" max="3" width="23.6640625" customWidth="1"/>
    <col min="5" max="5" width="23.6640625" customWidth="1"/>
    <col min="6" max="6" width="16.77734375" customWidth="1"/>
    <col min="7" max="7" width="23.6640625" customWidth="1"/>
    <col min="8" max="8" width="11.21875" bestFit="1" customWidth="1"/>
    <col min="9" max="10" width="14.10937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10" t="s">
        <v>569</v>
      </c>
      <c r="E1" s="2" t="s">
        <v>4</v>
      </c>
      <c r="F1" s="2" t="s">
        <v>3</v>
      </c>
      <c r="G1" s="2" t="s">
        <v>5</v>
      </c>
      <c r="H1" s="2" t="s">
        <v>6</v>
      </c>
      <c r="I1" s="2" t="s">
        <v>562</v>
      </c>
      <c r="J1" s="2" t="s">
        <v>563</v>
      </c>
      <c r="K1" s="2" t="s">
        <v>559</v>
      </c>
    </row>
    <row r="2" spans="1:11" x14ac:dyDescent="0.3">
      <c r="A2" s="1">
        <v>1</v>
      </c>
      <c r="B2" s="1">
        <v>1</v>
      </c>
      <c r="C2" s="1" t="s">
        <v>7</v>
      </c>
      <c r="D2" s="1" t="s">
        <v>564</v>
      </c>
      <c r="E2" s="1" t="s">
        <v>8</v>
      </c>
      <c r="F2" s="1" t="str">
        <f>_xlfn.XLOOKUP(B2,'July 2025'!B:B,'July 2025'!F:F)</f>
        <v>Manufacturing</v>
      </c>
      <c r="G2" s="1">
        <v>11000</v>
      </c>
      <c r="H2" s="1">
        <v>0</v>
      </c>
      <c r="I2" s="1">
        <v>0</v>
      </c>
      <c r="J2" s="1">
        <v>0</v>
      </c>
      <c r="K2" s="1" t="str">
        <f>_xlfn.XLOOKUP(B2,'July 2025'!B:B,'July 2025'!K:K)</f>
        <v>L-9</v>
      </c>
    </row>
    <row r="3" spans="1:11" x14ac:dyDescent="0.3">
      <c r="A3" s="1">
        <v>2</v>
      </c>
      <c r="B3" s="1">
        <v>2</v>
      </c>
      <c r="C3" s="1" t="s">
        <v>9</v>
      </c>
      <c r="D3" s="1" t="s">
        <v>564</v>
      </c>
      <c r="E3" s="1" t="s">
        <v>10</v>
      </c>
      <c r="F3" s="1" t="str">
        <f>_xlfn.XLOOKUP(B3,'July 2025'!B:B,'July 2025'!F:F)</f>
        <v>Domestic</v>
      </c>
      <c r="G3" s="1">
        <v>20500</v>
      </c>
      <c r="H3" s="1">
        <v>17425</v>
      </c>
      <c r="I3" s="1">
        <v>1359</v>
      </c>
      <c r="J3" s="1">
        <v>567</v>
      </c>
      <c r="K3" s="1" t="str">
        <f>_xlfn.XLOOKUP(B3,'July 2025'!B:B,'July 2025'!K:K)</f>
        <v>L-8</v>
      </c>
    </row>
    <row r="4" spans="1:11" x14ac:dyDescent="0.3">
      <c r="A4" s="1">
        <v>3</v>
      </c>
      <c r="B4" s="1">
        <v>3</v>
      </c>
      <c r="C4" s="1" t="s">
        <v>11</v>
      </c>
      <c r="D4" s="1" t="s">
        <v>564</v>
      </c>
      <c r="E4" s="1" t="s">
        <v>12</v>
      </c>
      <c r="F4" s="1" t="str">
        <f>_xlfn.XLOOKUP(B4,'July 2025'!B:B,'July 2025'!F:F)</f>
        <v>Manufacturing</v>
      </c>
      <c r="G4" s="1">
        <v>27500</v>
      </c>
      <c r="H4" s="1">
        <v>24751</v>
      </c>
      <c r="I4" s="1">
        <v>0</v>
      </c>
      <c r="J4" s="1">
        <v>0</v>
      </c>
      <c r="K4" s="1" t="str">
        <f>_xlfn.XLOOKUP(B4,'July 2025'!B:B,'July 2025'!K:K)</f>
        <v>L-9</v>
      </c>
    </row>
    <row r="5" spans="1:11" x14ac:dyDescent="0.3">
      <c r="A5" s="1">
        <v>4</v>
      </c>
      <c r="B5" s="1">
        <v>4</v>
      </c>
      <c r="C5" s="1" t="s">
        <v>13</v>
      </c>
      <c r="D5" s="1" t="s">
        <v>564</v>
      </c>
      <c r="E5" s="1" t="s">
        <v>10</v>
      </c>
      <c r="F5" s="1" t="str">
        <f>_xlfn.XLOOKUP(B5,'July 2025'!B:B,'July 2025'!F:F)</f>
        <v>Domestic</v>
      </c>
      <c r="G5" s="1">
        <v>25781</v>
      </c>
      <c r="H5" s="1">
        <v>25781</v>
      </c>
      <c r="I5" s="1">
        <v>1950</v>
      </c>
      <c r="J5" s="1">
        <v>0</v>
      </c>
      <c r="K5" s="1" t="str">
        <f>_xlfn.XLOOKUP(B5,'July 2025'!B:B,'July 2025'!K:K)</f>
        <v>L-6</v>
      </c>
    </row>
    <row r="6" spans="1:11" x14ac:dyDescent="0.3">
      <c r="A6" s="1">
        <v>5</v>
      </c>
      <c r="B6" s="1">
        <v>5</v>
      </c>
      <c r="C6" s="1" t="s">
        <v>15</v>
      </c>
      <c r="D6" s="1" t="s">
        <v>564</v>
      </c>
      <c r="E6" s="1" t="s">
        <v>10</v>
      </c>
      <c r="F6" s="1" t="str">
        <f>_xlfn.XLOOKUP(B6,'July 2025'!B:B,'July 2025'!F:F)</f>
        <v>Domestic</v>
      </c>
      <c r="G6" s="1">
        <v>41950</v>
      </c>
      <c r="H6" s="1">
        <v>41950</v>
      </c>
      <c r="I6" s="1">
        <v>1950</v>
      </c>
      <c r="J6" s="1">
        <v>0</v>
      </c>
      <c r="K6" s="1" t="str">
        <f>_xlfn.XLOOKUP(B6,'July 2025'!B:B,'July 2025'!K:K)</f>
        <v>L-6</v>
      </c>
    </row>
    <row r="7" spans="1:11" x14ac:dyDescent="0.3">
      <c r="A7" s="1">
        <v>6</v>
      </c>
      <c r="B7" s="1">
        <v>6</v>
      </c>
      <c r="C7" s="1" t="s">
        <v>16</v>
      </c>
      <c r="D7" s="1" t="s">
        <v>564</v>
      </c>
      <c r="E7" s="1" t="s">
        <v>17</v>
      </c>
      <c r="F7" s="1" t="str">
        <f>_xlfn.XLOOKUP(B7,'July 2025'!B:B,'July 2025'!F:F)</f>
        <v xml:space="preserve">Admin </v>
      </c>
      <c r="G7" s="1">
        <v>62500</v>
      </c>
      <c r="H7" s="1">
        <v>62500</v>
      </c>
      <c r="I7" s="1">
        <v>0</v>
      </c>
      <c r="J7" s="1">
        <v>0</v>
      </c>
      <c r="K7" s="1" t="str">
        <f>_xlfn.XLOOKUP(B7,'July 2025'!B:B,'July 2025'!K:K)</f>
        <v>L-5</v>
      </c>
    </row>
    <row r="8" spans="1:11" x14ac:dyDescent="0.3">
      <c r="A8" s="1">
        <v>7</v>
      </c>
      <c r="B8" s="1">
        <v>7</v>
      </c>
      <c r="C8" s="1" t="s">
        <v>18</v>
      </c>
      <c r="D8" s="1" t="s">
        <v>564</v>
      </c>
      <c r="E8" s="1" t="s">
        <v>19</v>
      </c>
      <c r="F8" s="1" t="str">
        <f>_xlfn.XLOOKUP(B8,'July 2025'!B:B,'July 2025'!F:F)</f>
        <v xml:space="preserve">Admin </v>
      </c>
      <c r="G8" s="1">
        <v>48000</v>
      </c>
      <c r="H8" s="1">
        <v>48000</v>
      </c>
      <c r="I8" s="1">
        <v>0</v>
      </c>
      <c r="J8" s="1">
        <v>0</v>
      </c>
      <c r="K8" s="1" t="str">
        <f>_xlfn.XLOOKUP(B8,'July 2025'!B:B,'July 2025'!K:K)</f>
        <v>L-5</v>
      </c>
    </row>
    <row r="9" spans="1:11" x14ac:dyDescent="0.3">
      <c r="A9" s="1">
        <v>8</v>
      </c>
      <c r="B9" s="1">
        <v>9</v>
      </c>
      <c r="C9" s="1" t="s">
        <v>22</v>
      </c>
      <c r="D9" s="1" t="s">
        <v>564</v>
      </c>
      <c r="E9" s="1" t="s">
        <v>23</v>
      </c>
      <c r="F9" s="1" t="str">
        <f>_xlfn.XLOOKUP(B9,'July 2025'!B:B,'July 2025'!F:F)</f>
        <v>Domestic</v>
      </c>
      <c r="G9" s="1">
        <v>16300</v>
      </c>
      <c r="H9" s="1">
        <v>13040</v>
      </c>
      <c r="I9" s="1">
        <v>1017</v>
      </c>
      <c r="J9" s="1">
        <v>424</v>
      </c>
      <c r="K9" s="1" t="str">
        <f>_xlfn.XLOOKUP(B9,'July 2025'!B:B,'July 2025'!K:K)</f>
        <v>L-9</v>
      </c>
    </row>
    <row r="10" spans="1:11" x14ac:dyDescent="0.3">
      <c r="A10" s="1">
        <v>9</v>
      </c>
      <c r="B10" s="1">
        <v>11</v>
      </c>
      <c r="C10" s="1" t="s">
        <v>25</v>
      </c>
      <c r="D10" s="1" t="s">
        <v>564</v>
      </c>
      <c r="E10" s="1" t="s">
        <v>26</v>
      </c>
      <c r="F10" s="1" t="str">
        <f>_xlfn.XLOOKUP(B10,'July 2025'!B:B,'July 2025'!F:F)</f>
        <v xml:space="preserve">Admin </v>
      </c>
      <c r="G10" s="1">
        <v>22000</v>
      </c>
      <c r="H10" s="1">
        <v>22000</v>
      </c>
      <c r="I10" s="1">
        <v>1950</v>
      </c>
      <c r="J10" s="1">
        <v>0</v>
      </c>
      <c r="K10" s="1" t="str">
        <f>_xlfn.XLOOKUP(B10,'July 2025'!B:B,'July 2025'!K:K)</f>
        <v>L-6</v>
      </c>
    </row>
    <row r="11" spans="1:11" x14ac:dyDescent="0.3">
      <c r="A11" s="1">
        <v>10</v>
      </c>
      <c r="B11" s="1">
        <v>13</v>
      </c>
      <c r="C11" s="1" t="s">
        <v>29</v>
      </c>
      <c r="D11" s="1" t="s">
        <v>564</v>
      </c>
      <c r="E11" s="1" t="s">
        <v>10</v>
      </c>
      <c r="F11" s="1" t="str">
        <f>_xlfn.XLOOKUP(B11,'July 2025'!B:B,'July 2025'!F:F)</f>
        <v>Domestic</v>
      </c>
      <c r="G11" s="1">
        <v>16000</v>
      </c>
      <c r="H11" s="1">
        <v>14133</v>
      </c>
      <c r="I11" s="1">
        <v>1102</v>
      </c>
      <c r="J11" s="1">
        <v>460</v>
      </c>
      <c r="K11" s="1" t="str">
        <f>_xlfn.XLOOKUP(B11,'July 2025'!B:B,'July 2025'!K:K)</f>
        <v>L-7</v>
      </c>
    </row>
    <row r="12" spans="1:11" x14ac:dyDescent="0.3">
      <c r="A12" s="1">
        <v>11</v>
      </c>
      <c r="B12" s="1">
        <v>14</v>
      </c>
      <c r="C12" s="1" t="s">
        <v>30</v>
      </c>
      <c r="D12" s="1" t="s">
        <v>564</v>
      </c>
      <c r="E12" s="1" t="s">
        <v>31</v>
      </c>
      <c r="F12" s="1" t="str">
        <f>_xlfn.XLOOKUP(B12,'July 2025'!B:B,'July 2025'!F:F)</f>
        <v>Office Support</v>
      </c>
      <c r="G12" s="1">
        <v>15400</v>
      </c>
      <c r="H12" s="1">
        <v>15400</v>
      </c>
      <c r="I12" s="1">
        <v>1201</v>
      </c>
      <c r="J12" s="1">
        <v>501</v>
      </c>
      <c r="K12" s="1" t="str">
        <f>_xlfn.XLOOKUP(B12,'July 2025'!B:B,'July 2025'!K:K)</f>
        <v>L-10</v>
      </c>
    </row>
    <row r="13" spans="1:11" x14ac:dyDescent="0.3">
      <c r="A13" s="1">
        <v>12</v>
      </c>
      <c r="B13" s="1">
        <v>15</v>
      </c>
      <c r="C13" s="1" t="s">
        <v>32</v>
      </c>
      <c r="D13" s="1" t="s">
        <v>564</v>
      </c>
      <c r="E13" s="1" t="s">
        <v>33</v>
      </c>
      <c r="F13" s="1" t="str">
        <f>_xlfn.XLOOKUP(B13,'July 2025'!B:B,'July 2025'!F:F)</f>
        <v>Manufacturing</v>
      </c>
      <c r="G13" s="1">
        <v>20000</v>
      </c>
      <c r="H13" s="1">
        <v>18333</v>
      </c>
      <c r="I13" s="1">
        <v>1430</v>
      </c>
      <c r="J13" s="1">
        <v>596</v>
      </c>
      <c r="K13" s="1" t="str">
        <f>_xlfn.XLOOKUP(B13,'July 2025'!B:B,'July 2025'!K:K)</f>
        <v>L-9</v>
      </c>
    </row>
    <row r="14" spans="1:11" x14ac:dyDescent="0.3">
      <c r="A14" s="1">
        <v>13</v>
      </c>
      <c r="B14" s="1">
        <v>16</v>
      </c>
      <c r="C14" s="1" t="s">
        <v>34</v>
      </c>
      <c r="D14" s="1" t="s">
        <v>564</v>
      </c>
      <c r="E14" s="1" t="s">
        <v>35</v>
      </c>
      <c r="F14" s="1" t="str">
        <f>_xlfn.XLOOKUP(B14,'July 2025'!B:B,'July 2025'!F:F)</f>
        <v>Domestic</v>
      </c>
      <c r="G14" s="1">
        <v>14063</v>
      </c>
      <c r="H14" s="1">
        <v>12891</v>
      </c>
      <c r="I14" s="1">
        <v>1173</v>
      </c>
      <c r="J14" s="1">
        <v>419</v>
      </c>
      <c r="K14" s="1" t="str">
        <f>_xlfn.XLOOKUP(B14,'July 2025'!B:B,'July 2025'!K:K)</f>
        <v>L-9</v>
      </c>
    </row>
    <row r="15" spans="1:11" x14ac:dyDescent="0.3">
      <c r="A15" s="1">
        <v>14</v>
      </c>
      <c r="B15" s="1">
        <v>17</v>
      </c>
      <c r="C15" s="1" t="s">
        <v>36</v>
      </c>
      <c r="D15" s="1" t="s">
        <v>564</v>
      </c>
      <c r="E15" s="1" t="s">
        <v>21</v>
      </c>
      <c r="F15" s="1" t="str">
        <f>_xlfn.XLOOKUP(B15,'July 2025'!B:B,'July 2025'!F:F)</f>
        <v>Manufacturing</v>
      </c>
      <c r="G15" s="1">
        <v>17500</v>
      </c>
      <c r="H15" s="1">
        <v>17500</v>
      </c>
      <c r="I15" s="1">
        <v>1365</v>
      </c>
      <c r="J15" s="1">
        <v>569</v>
      </c>
      <c r="K15" s="1" t="str">
        <f>_xlfn.XLOOKUP(B15,'July 2025'!B:B,'July 2025'!K:K)</f>
        <v>L-9</v>
      </c>
    </row>
    <row r="16" spans="1:11" x14ac:dyDescent="0.3">
      <c r="A16" s="1">
        <v>15</v>
      </c>
      <c r="B16" s="1">
        <v>19</v>
      </c>
      <c r="C16" s="1" t="s">
        <v>38</v>
      </c>
      <c r="D16" s="1" t="s">
        <v>564</v>
      </c>
      <c r="E16" s="1" t="s">
        <v>35</v>
      </c>
      <c r="F16" s="1" t="s">
        <v>501</v>
      </c>
      <c r="G16" s="1">
        <v>15300</v>
      </c>
      <c r="H16" s="1">
        <v>6885</v>
      </c>
      <c r="I16" s="1">
        <v>537</v>
      </c>
      <c r="J16" s="1">
        <v>224</v>
      </c>
      <c r="K16" s="1" t="s">
        <v>556</v>
      </c>
    </row>
    <row r="17" spans="1:11" x14ac:dyDescent="0.3">
      <c r="A17" s="1">
        <v>16</v>
      </c>
      <c r="B17" s="1">
        <v>20</v>
      </c>
      <c r="C17" s="1" t="s">
        <v>39</v>
      </c>
      <c r="D17" s="1" t="s">
        <v>564</v>
      </c>
      <c r="E17" s="1" t="s">
        <v>35</v>
      </c>
      <c r="F17" s="1" t="str">
        <f>_xlfn.XLOOKUP(B17,'July 2025'!B:B,'July 2025'!F:F)</f>
        <v>Manufacturing</v>
      </c>
      <c r="G17" s="1">
        <v>14500</v>
      </c>
      <c r="H17" s="1">
        <v>14500</v>
      </c>
      <c r="I17" s="1">
        <v>1320</v>
      </c>
      <c r="J17" s="1">
        <v>472</v>
      </c>
      <c r="K17" s="1" t="str">
        <f>_xlfn.XLOOKUP(B17,'July 2025'!B:B,'July 2025'!K:K)</f>
        <v>L-9</v>
      </c>
    </row>
    <row r="18" spans="1:11" x14ac:dyDescent="0.3">
      <c r="A18" s="1">
        <v>17</v>
      </c>
      <c r="B18" s="1">
        <v>21</v>
      </c>
      <c r="C18" s="1" t="s">
        <v>40</v>
      </c>
      <c r="D18" s="1" t="s">
        <v>564</v>
      </c>
      <c r="E18" s="1" t="s">
        <v>41</v>
      </c>
      <c r="F18" s="1" t="str">
        <f>_xlfn.XLOOKUP(B18,'July 2025'!B:B,'July 2025'!F:F)</f>
        <v>Manufacturing</v>
      </c>
      <c r="G18" s="1">
        <v>22000</v>
      </c>
      <c r="H18" s="1">
        <v>20533</v>
      </c>
      <c r="I18" s="1">
        <v>1602</v>
      </c>
      <c r="J18" s="1">
        <v>0</v>
      </c>
      <c r="K18" s="1" t="str">
        <f>_xlfn.XLOOKUP(B18,'July 2025'!B:B,'July 2025'!K:K)</f>
        <v>L-8</v>
      </c>
    </row>
    <row r="19" spans="1:11" x14ac:dyDescent="0.3">
      <c r="A19" s="1">
        <v>18</v>
      </c>
      <c r="B19" s="1">
        <v>22</v>
      </c>
      <c r="C19" s="1" t="s">
        <v>282</v>
      </c>
      <c r="D19" s="1" t="s">
        <v>564</v>
      </c>
      <c r="E19" s="1" t="s">
        <v>42</v>
      </c>
      <c r="F19" s="1" t="str">
        <f>_xlfn.XLOOKUP(B19,'July 2025'!B:B,'July 2025'!F:F)</f>
        <v>Domestic</v>
      </c>
      <c r="G19" s="1">
        <v>68200</v>
      </c>
      <c r="H19" s="1">
        <v>68200</v>
      </c>
      <c r="I19" s="1">
        <v>1950</v>
      </c>
      <c r="J19" s="1">
        <v>0</v>
      </c>
      <c r="K19" s="1" t="str">
        <f>_xlfn.XLOOKUP(B19,'July 2025'!B:B,'July 2025'!K:K)</f>
        <v>L-5</v>
      </c>
    </row>
    <row r="20" spans="1:11" x14ac:dyDescent="0.3">
      <c r="A20" s="1">
        <v>19</v>
      </c>
      <c r="B20" s="1">
        <v>24</v>
      </c>
      <c r="C20" s="1" t="s">
        <v>44</v>
      </c>
      <c r="D20" s="1" t="s">
        <v>564</v>
      </c>
      <c r="E20" s="1" t="s">
        <v>10</v>
      </c>
      <c r="F20" s="1" t="str">
        <f>_xlfn.XLOOKUP(B20,'July 2025'!B:B,'July 2025'!F:F)</f>
        <v>Domestic</v>
      </c>
      <c r="G20" s="1">
        <v>15500</v>
      </c>
      <c r="H20" s="1">
        <v>7234</v>
      </c>
      <c r="I20" s="1">
        <v>668</v>
      </c>
      <c r="J20" s="1">
        <v>236</v>
      </c>
      <c r="K20" s="1" t="str">
        <f>_xlfn.XLOOKUP(B20,'July 2025'!B:B,'July 2025'!K:K)</f>
        <v>L-8</v>
      </c>
    </row>
    <row r="21" spans="1:11" x14ac:dyDescent="0.3">
      <c r="A21" s="1">
        <v>20</v>
      </c>
      <c r="B21" s="1">
        <v>27</v>
      </c>
      <c r="C21" s="1" t="s">
        <v>48</v>
      </c>
      <c r="D21" s="1" t="s">
        <v>564</v>
      </c>
      <c r="E21" s="1" t="s">
        <v>10</v>
      </c>
      <c r="F21" s="1" t="str">
        <f>_xlfn.XLOOKUP(B21,'July 2025'!B:B,'July 2025'!F:F)</f>
        <v>Domestic</v>
      </c>
      <c r="G21" s="1">
        <v>25988</v>
      </c>
      <c r="H21" s="1">
        <v>25122</v>
      </c>
      <c r="I21" s="1">
        <v>1950</v>
      </c>
      <c r="J21" s="1">
        <v>0</v>
      </c>
      <c r="K21" s="1" t="str">
        <f>_xlfn.XLOOKUP(B21,'July 2025'!B:B,'July 2025'!K:K)</f>
        <v>L-6</v>
      </c>
    </row>
    <row r="22" spans="1:11" x14ac:dyDescent="0.3">
      <c r="A22" s="1">
        <v>21</v>
      </c>
      <c r="B22" s="1">
        <v>29</v>
      </c>
      <c r="C22" s="1" t="s">
        <v>51</v>
      </c>
      <c r="D22" s="1" t="s">
        <v>564</v>
      </c>
      <c r="E22" s="1" t="s">
        <v>42</v>
      </c>
      <c r="F22" s="1" t="str">
        <f>_xlfn.XLOOKUP(B22,'July 2025'!B:B,'July 2025'!F:F)</f>
        <v>D2C</v>
      </c>
      <c r="G22" s="1">
        <v>79450</v>
      </c>
      <c r="H22" s="1">
        <v>79450</v>
      </c>
      <c r="I22" s="1">
        <v>1950</v>
      </c>
      <c r="J22" s="1">
        <v>0</v>
      </c>
      <c r="K22" s="1" t="str">
        <f>_xlfn.XLOOKUP(B22,'July 2025'!B:B,'July 2025'!K:K)</f>
        <v>L-5</v>
      </c>
    </row>
    <row r="23" spans="1:11" x14ac:dyDescent="0.3">
      <c r="A23" s="1">
        <v>22</v>
      </c>
      <c r="B23" s="1">
        <v>32</v>
      </c>
      <c r="C23" s="1" t="s">
        <v>56</v>
      </c>
      <c r="D23" s="1" t="s">
        <v>564</v>
      </c>
      <c r="E23" s="1" t="s">
        <v>41</v>
      </c>
      <c r="F23" s="1" t="str">
        <f>_xlfn.XLOOKUP(B23,'July 2025'!B:B,'July 2025'!F:F)</f>
        <v>Manufacturing</v>
      </c>
      <c r="G23" s="1">
        <v>25000</v>
      </c>
      <c r="H23" s="1">
        <v>24167</v>
      </c>
      <c r="I23" s="1">
        <v>0</v>
      </c>
      <c r="J23" s="1">
        <v>0</v>
      </c>
      <c r="K23" s="1" t="str">
        <f>_xlfn.XLOOKUP(B23,'July 2025'!B:B,'July 2025'!K:K)</f>
        <v>L-8</v>
      </c>
    </row>
    <row r="24" spans="1:11" x14ac:dyDescent="0.3">
      <c r="A24" s="1">
        <v>23</v>
      </c>
      <c r="B24" s="1">
        <v>33</v>
      </c>
      <c r="C24" s="1" t="s">
        <v>57</v>
      </c>
      <c r="D24" s="1" t="s">
        <v>564</v>
      </c>
      <c r="E24" s="1" t="s">
        <v>58</v>
      </c>
      <c r="F24" s="1" t="str">
        <f>_xlfn.XLOOKUP(B24,'July 2025'!B:B,'July 2025'!F:F)</f>
        <v>D2C</v>
      </c>
      <c r="G24" s="1">
        <v>37000</v>
      </c>
      <c r="H24" s="1">
        <v>41177</v>
      </c>
      <c r="I24" s="1">
        <v>0</v>
      </c>
      <c r="J24" s="1">
        <v>0</v>
      </c>
      <c r="K24" s="1" t="str">
        <f>_xlfn.XLOOKUP(B24,'July 2025'!B:B,'July 2025'!K:K)</f>
        <v>L-6</v>
      </c>
    </row>
    <row r="25" spans="1:11" x14ac:dyDescent="0.3">
      <c r="A25" s="1">
        <v>24</v>
      </c>
      <c r="B25" s="1">
        <v>37</v>
      </c>
      <c r="C25" s="1" t="s">
        <v>63</v>
      </c>
      <c r="D25" s="1" t="s">
        <v>564</v>
      </c>
      <c r="E25" s="1" t="s">
        <v>64</v>
      </c>
      <c r="F25" s="1" t="str">
        <f>_xlfn.XLOOKUP(B25,'July 2025'!B:B,'July 2025'!F:F)</f>
        <v>Overseas</v>
      </c>
      <c r="G25" s="1">
        <v>44000</v>
      </c>
      <c r="H25" s="1">
        <v>44000</v>
      </c>
      <c r="I25" s="1">
        <v>0</v>
      </c>
      <c r="J25" s="1">
        <v>0</v>
      </c>
      <c r="K25" s="1" t="str">
        <f>_xlfn.XLOOKUP(B25,'July 2025'!B:B,'July 2025'!K:K)</f>
        <v>L-6</v>
      </c>
    </row>
    <row r="26" spans="1:11" x14ac:dyDescent="0.3">
      <c r="A26" s="1">
        <v>25</v>
      </c>
      <c r="B26" s="1">
        <v>38</v>
      </c>
      <c r="C26" s="1" t="s">
        <v>65</v>
      </c>
      <c r="D26" s="1" t="s">
        <v>564</v>
      </c>
      <c r="E26" s="1" t="s">
        <v>558</v>
      </c>
      <c r="F26" s="1" t="str">
        <f>_xlfn.XLOOKUP(B26,'July 2025'!B:B,'July 2025'!F:F)</f>
        <v xml:space="preserve">Admin </v>
      </c>
      <c r="G26" s="1">
        <v>41000</v>
      </c>
      <c r="H26" s="1">
        <v>41000</v>
      </c>
      <c r="I26" s="1">
        <v>0</v>
      </c>
      <c r="J26" s="1">
        <v>0</v>
      </c>
      <c r="K26" s="1" t="str">
        <f>_xlfn.XLOOKUP(B26,'July 2025'!B:B,'July 2025'!K:K)</f>
        <v>L-5</v>
      </c>
    </row>
    <row r="27" spans="1:11" x14ac:dyDescent="0.3">
      <c r="A27" s="1">
        <v>26</v>
      </c>
      <c r="B27" s="1">
        <v>39</v>
      </c>
      <c r="C27" s="1" t="s">
        <v>66</v>
      </c>
      <c r="D27" s="1" t="s">
        <v>564</v>
      </c>
      <c r="E27" s="1" t="s">
        <v>67</v>
      </c>
      <c r="F27" s="1" t="str">
        <f>_xlfn.XLOOKUP(B27,'July 2025'!B:B,'July 2025'!F:F)</f>
        <v>Manufacturing</v>
      </c>
      <c r="G27" s="1">
        <v>30000</v>
      </c>
      <c r="H27" s="1">
        <v>19000</v>
      </c>
      <c r="I27" s="1">
        <v>0</v>
      </c>
      <c r="J27" s="1">
        <v>0</v>
      </c>
      <c r="K27" s="1" t="str">
        <f>_xlfn.XLOOKUP(B27,'July 2025'!B:B,'July 2025'!K:K)</f>
        <v>L-9</v>
      </c>
    </row>
    <row r="28" spans="1:11" x14ac:dyDescent="0.3">
      <c r="A28" s="1">
        <v>27</v>
      </c>
      <c r="B28" s="1">
        <v>40</v>
      </c>
      <c r="C28" s="1" t="s">
        <v>68</v>
      </c>
      <c r="D28" s="1" t="s">
        <v>564</v>
      </c>
      <c r="E28" s="1" t="s">
        <v>67</v>
      </c>
      <c r="F28" s="1" t="str">
        <f>_xlfn.XLOOKUP(B28,'July 2025'!B:B,'July 2025'!F:F)</f>
        <v>Manufacturing</v>
      </c>
      <c r="G28" s="1">
        <v>30000</v>
      </c>
      <c r="H28" s="1">
        <v>19000</v>
      </c>
      <c r="I28" s="1">
        <v>0</v>
      </c>
      <c r="J28" s="1">
        <v>0</v>
      </c>
      <c r="K28" s="1" t="str">
        <f>_xlfn.XLOOKUP(B28,'July 2025'!B:B,'July 2025'!K:K)</f>
        <v>L-9</v>
      </c>
    </row>
    <row r="29" spans="1:11" x14ac:dyDescent="0.3">
      <c r="A29" s="1">
        <v>28</v>
      </c>
      <c r="B29" s="1">
        <v>41</v>
      </c>
      <c r="C29" s="1" t="s">
        <v>69</v>
      </c>
      <c r="D29" s="1" t="s">
        <v>564</v>
      </c>
      <c r="E29" s="1" t="s">
        <v>67</v>
      </c>
      <c r="F29" s="1" t="s">
        <v>501</v>
      </c>
      <c r="G29" s="1">
        <v>30000</v>
      </c>
      <c r="H29" s="1">
        <v>0</v>
      </c>
      <c r="I29" s="1">
        <v>0</v>
      </c>
      <c r="J29" s="1">
        <v>0</v>
      </c>
      <c r="K29" s="1" t="s">
        <v>556</v>
      </c>
    </row>
    <row r="30" spans="1:11" x14ac:dyDescent="0.3">
      <c r="A30" s="1">
        <v>29</v>
      </c>
      <c r="B30" s="1">
        <v>42</v>
      </c>
      <c r="C30" s="1" t="s">
        <v>70</v>
      </c>
      <c r="D30" s="1" t="s">
        <v>564</v>
      </c>
      <c r="E30" s="1" t="s">
        <v>67</v>
      </c>
      <c r="F30" s="1" t="str">
        <f>_xlfn.XLOOKUP(B30,'July 2025'!B:B,'July 2025'!F:F)</f>
        <v>Manufacturing</v>
      </c>
      <c r="G30" s="1">
        <v>30000</v>
      </c>
      <c r="H30" s="1">
        <v>12500</v>
      </c>
      <c r="I30" s="1">
        <v>0</v>
      </c>
      <c r="J30" s="1">
        <v>0</v>
      </c>
      <c r="K30" s="1" t="str">
        <f>_xlfn.XLOOKUP(B30,'July 2025'!B:B,'July 2025'!K:K)</f>
        <v>L-9</v>
      </c>
    </row>
    <row r="31" spans="1:11" x14ac:dyDescent="0.3">
      <c r="A31" s="1">
        <v>30</v>
      </c>
      <c r="B31" s="1">
        <v>43</v>
      </c>
      <c r="C31" s="1" t="s">
        <v>71</v>
      </c>
      <c r="D31" s="1" t="s">
        <v>564</v>
      </c>
      <c r="E31" s="1" t="s">
        <v>67</v>
      </c>
      <c r="F31" s="1" t="str">
        <f>_xlfn.XLOOKUP(B31,'July 2025'!B:B,'July 2025'!F:F)</f>
        <v>Manufacturing</v>
      </c>
      <c r="G31" s="1">
        <v>30000</v>
      </c>
      <c r="H31" s="1">
        <v>29500</v>
      </c>
      <c r="I31" s="1">
        <v>0</v>
      </c>
      <c r="J31" s="1">
        <v>0</v>
      </c>
      <c r="K31" s="1" t="str">
        <f>_xlfn.XLOOKUP(B31,'July 2025'!B:B,'July 2025'!K:K)</f>
        <v>L-9</v>
      </c>
    </row>
    <row r="32" spans="1:11" x14ac:dyDescent="0.3">
      <c r="A32" s="1">
        <v>31</v>
      </c>
      <c r="B32" s="1">
        <v>44</v>
      </c>
      <c r="C32" s="1" t="s">
        <v>72</v>
      </c>
      <c r="D32" s="1" t="s">
        <v>564</v>
      </c>
      <c r="E32" s="1" t="s">
        <v>67</v>
      </c>
      <c r="F32" s="1" t="str">
        <f>_xlfn.XLOOKUP(B32,'July 2025'!B:B,'July 2025'!F:F)</f>
        <v>Manufacturing</v>
      </c>
      <c r="G32" s="1">
        <v>30000</v>
      </c>
      <c r="H32" s="1">
        <v>16500</v>
      </c>
      <c r="I32" s="1">
        <v>0</v>
      </c>
      <c r="J32" s="1">
        <v>0</v>
      </c>
      <c r="K32" s="1" t="str">
        <f>_xlfn.XLOOKUP(B32,'July 2025'!B:B,'July 2025'!K:K)</f>
        <v>L-9</v>
      </c>
    </row>
    <row r="33" spans="1:11" x14ac:dyDescent="0.3">
      <c r="A33" s="1">
        <v>32</v>
      </c>
      <c r="B33" s="1">
        <v>46</v>
      </c>
      <c r="C33" s="1" t="s">
        <v>74</v>
      </c>
      <c r="D33" s="1" t="s">
        <v>564</v>
      </c>
      <c r="E33" s="1" t="s">
        <v>42</v>
      </c>
      <c r="F33" s="1" t="str">
        <f>_xlfn.XLOOKUP(B33,'July 2025'!B:B,'July 2025'!F:F)</f>
        <v>Overseas</v>
      </c>
      <c r="G33" s="1">
        <v>80000</v>
      </c>
      <c r="H33" s="1">
        <v>80000</v>
      </c>
      <c r="I33" s="1">
        <v>0</v>
      </c>
      <c r="J33" s="1">
        <v>0</v>
      </c>
      <c r="K33" s="1" t="str">
        <f>_xlfn.XLOOKUP(B33,'July 2025'!B:B,'July 2025'!K:K)</f>
        <v>L-5</v>
      </c>
    </row>
    <row r="34" spans="1:11" x14ac:dyDescent="0.3">
      <c r="A34" s="1">
        <v>33</v>
      </c>
      <c r="B34" s="1">
        <v>48</v>
      </c>
      <c r="C34" s="1" t="s">
        <v>77</v>
      </c>
      <c r="D34" s="1" t="s">
        <v>564</v>
      </c>
      <c r="E34" s="1" t="s">
        <v>67</v>
      </c>
      <c r="F34" s="1" t="str">
        <f>_xlfn.XLOOKUP(B34,'July 2025'!B:B,'July 2025'!F:F)</f>
        <v>Manufacturing</v>
      </c>
      <c r="G34" s="1">
        <v>30000</v>
      </c>
      <c r="H34" s="1">
        <v>30000</v>
      </c>
      <c r="I34" s="1">
        <v>0</v>
      </c>
      <c r="J34" s="1">
        <v>0</v>
      </c>
      <c r="K34" s="1" t="str">
        <f>_xlfn.XLOOKUP(B34,'July 2025'!B:B,'July 2025'!K:K)</f>
        <v>L-9</v>
      </c>
    </row>
    <row r="35" spans="1:11" x14ac:dyDescent="0.3">
      <c r="A35" s="1">
        <v>34</v>
      </c>
      <c r="B35" s="1">
        <v>49</v>
      </c>
      <c r="C35" s="1" t="s">
        <v>78</v>
      </c>
      <c r="D35" s="1" t="s">
        <v>564</v>
      </c>
      <c r="E35" s="1" t="s">
        <v>67</v>
      </c>
      <c r="F35" s="1" t="str">
        <f>_xlfn.XLOOKUP(B35,'July 2025'!B:B,'July 2025'!F:F)</f>
        <v>Manufacturing</v>
      </c>
      <c r="G35" s="1">
        <v>30000</v>
      </c>
      <c r="H35" s="1">
        <v>20500</v>
      </c>
      <c r="I35" s="1">
        <v>0</v>
      </c>
      <c r="J35" s="1">
        <v>0</v>
      </c>
      <c r="K35" s="1" t="str">
        <f>_xlfn.XLOOKUP(B35,'July 2025'!B:B,'July 2025'!K:K)</f>
        <v>L-9</v>
      </c>
    </row>
    <row r="36" spans="1:11" x14ac:dyDescent="0.3">
      <c r="A36" s="1">
        <v>35</v>
      </c>
      <c r="B36" s="1">
        <v>50</v>
      </c>
      <c r="C36" s="1" t="s">
        <v>199</v>
      </c>
      <c r="D36" s="1" t="s">
        <v>564</v>
      </c>
      <c r="E36" s="1" t="s">
        <v>10</v>
      </c>
      <c r="F36" s="1" t="str">
        <f>_xlfn.XLOOKUP(B36,'July 2025'!B:B,'July 2025'!F:F)</f>
        <v>Domestic</v>
      </c>
      <c r="G36" s="1">
        <v>30000</v>
      </c>
      <c r="H36" s="1">
        <v>30000</v>
      </c>
      <c r="I36" s="1">
        <v>0</v>
      </c>
      <c r="J36" s="1">
        <v>0</v>
      </c>
      <c r="K36" s="1" t="str">
        <f>_xlfn.XLOOKUP(B36,'July 2025'!B:B,'July 2025'!K:K)</f>
        <v>L-6</v>
      </c>
    </row>
    <row r="37" spans="1:11" x14ac:dyDescent="0.3">
      <c r="A37" s="1">
        <v>36</v>
      </c>
      <c r="B37" s="1">
        <v>54</v>
      </c>
      <c r="C37" s="1" t="s">
        <v>217</v>
      </c>
      <c r="D37" s="1" t="s">
        <v>564</v>
      </c>
      <c r="E37" s="1" t="s">
        <v>67</v>
      </c>
      <c r="F37" s="1" t="str">
        <f>_xlfn.XLOOKUP(B37,'July 2025'!B:B,'July 2025'!F:F)</f>
        <v>Manufacturing</v>
      </c>
      <c r="G37" s="1">
        <v>30000</v>
      </c>
      <c r="H37" s="1">
        <v>17500</v>
      </c>
      <c r="I37" s="1">
        <v>0</v>
      </c>
      <c r="J37" s="1">
        <v>0</v>
      </c>
      <c r="K37" s="1" t="str">
        <f>_xlfn.XLOOKUP(B37,'July 2025'!B:B,'July 2025'!K:K)</f>
        <v>L-9</v>
      </c>
    </row>
    <row r="38" spans="1:11" x14ac:dyDescent="0.3">
      <c r="A38" s="1">
        <v>37</v>
      </c>
      <c r="B38" s="1">
        <v>55</v>
      </c>
      <c r="C38" s="1" t="s">
        <v>218</v>
      </c>
      <c r="D38" s="1" t="s">
        <v>564</v>
      </c>
      <c r="E38" s="1" t="s">
        <v>67</v>
      </c>
      <c r="F38" s="1" t="str">
        <f>_xlfn.XLOOKUP(B38,'July 2025'!B:B,'July 2025'!F:F)</f>
        <v>Manufacturing</v>
      </c>
      <c r="G38" s="1">
        <v>30000</v>
      </c>
      <c r="H38" s="1">
        <v>18500</v>
      </c>
      <c r="I38" s="1">
        <v>0</v>
      </c>
      <c r="J38" s="1">
        <v>0</v>
      </c>
      <c r="K38" s="1" t="str">
        <f>_xlfn.XLOOKUP(B38,'July 2025'!B:B,'July 2025'!K:K)</f>
        <v>L-9</v>
      </c>
    </row>
    <row r="39" spans="1:11" x14ac:dyDescent="0.3">
      <c r="A39" s="1">
        <v>38</v>
      </c>
      <c r="B39" s="1">
        <v>56</v>
      </c>
      <c r="C39" s="1" t="s">
        <v>219</v>
      </c>
      <c r="D39" s="1" t="s">
        <v>564</v>
      </c>
      <c r="E39" s="1" t="s">
        <v>67</v>
      </c>
      <c r="F39" s="1" t="str">
        <f>_xlfn.XLOOKUP(B39,'July 2025'!B:B,'July 2025'!F:F)</f>
        <v>Manufacturing</v>
      </c>
      <c r="G39" s="1">
        <v>30000</v>
      </c>
      <c r="H39" s="1">
        <v>21500</v>
      </c>
      <c r="I39" s="1">
        <v>0</v>
      </c>
      <c r="J39" s="1">
        <v>0</v>
      </c>
      <c r="K39" s="1" t="str">
        <f>_xlfn.XLOOKUP(B39,'July 2025'!B:B,'July 2025'!K:K)</f>
        <v>L-9</v>
      </c>
    </row>
    <row r="40" spans="1:11" x14ac:dyDescent="0.3">
      <c r="A40" s="1">
        <v>39</v>
      </c>
      <c r="B40" s="1">
        <v>57</v>
      </c>
      <c r="C40" s="1" t="s">
        <v>220</v>
      </c>
      <c r="D40" s="1" t="s">
        <v>564</v>
      </c>
      <c r="E40" s="1" t="s">
        <v>42</v>
      </c>
      <c r="F40" s="1" t="str">
        <f>_xlfn.XLOOKUP(B40,'July 2025'!B:B,'July 2025'!F:F)</f>
        <v>Overseas</v>
      </c>
      <c r="G40" s="1">
        <v>48600</v>
      </c>
      <c r="H40" s="1">
        <v>48600</v>
      </c>
      <c r="I40" s="1">
        <v>1950</v>
      </c>
      <c r="J40" s="1">
        <v>0</v>
      </c>
      <c r="K40" s="1" t="str">
        <f>_xlfn.XLOOKUP(B40,'July 2025'!B:B,'July 2025'!K:K)</f>
        <v>L-6</v>
      </c>
    </row>
    <row r="41" spans="1:11" x14ac:dyDescent="0.3">
      <c r="A41" s="1">
        <v>40</v>
      </c>
      <c r="B41" s="1">
        <v>10002</v>
      </c>
      <c r="C41" s="1" t="s">
        <v>80</v>
      </c>
      <c r="D41" s="1" t="s">
        <v>565</v>
      </c>
      <c r="E41" s="1" t="s">
        <v>53</v>
      </c>
      <c r="F41" s="1" t="str">
        <f>_xlfn.XLOOKUP(B41,'July 2025'!B:B,'July 2025'!F:F)</f>
        <v>Domestic</v>
      </c>
      <c r="G41" s="1">
        <v>15400</v>
      </c>
      <c r="H41" s="1">
        <v>11037</v>
      </c>
      <c r="I41" s="1">
        <v>0</v>
      </c>
      <c r="J41" s="1">
        <v>0</v>
      </c>
      <c r="K41" s="1" t="str">
        <f>_xlfn.XLOOKUP(B41,'July 2025'!B:B,'July 2025'!K:K)</f>
        <v>L-10</v>
      </c>
    </row>
    <row r="42" spans="1:11" x14ac:dyDescent="0.3">
      <c r="A42" s="1">
        <v>41</v>
      </c>
      <c r="B42" s="1">
        <v>10004</v>
      </c>
      <c r="C42" s="1" t="s">
        <v>83</v>
      </c>
      <c r="D42" s="1" t="s">
        <v>565</v>
      </c>
      <c r="E42" s="1" t="s">
        <v>21</v>
      </c>
      <c r="F42" s="1" t="str">
        <f>_xlfn.XLOOKUP(B42,'July 2025'!B:B,'July 2025'!F:F)</f>
        <v>Manufacturing</v>
      </c>
      <c r="G42" s="1">
        <v>17000</v>
      </c>
      <c r="H42" s="1">
        <v>17000</v>
      </c>
      <c r="I42" s="1">
        <v>0</v>
      </c>
      <c r="J42" s="1">
        <v>0</v>
      </c>
      <c r="K42" s="1" t="str">
        <f>_xlfn.XLOOKUP(B42,'July 2025'!B:B,'July 2025'!K:K)</f>
        <v>L-9</v>
      </c>
    </row>
    <row r="43" spans="1:11" x14ac:dyDescent="0.3">
      <c r="A43" s="1">
        <v>42</v>
      </c>
      <c r="B43" s="1">
        <v>59</v>
      </c>
      <c r="C43" s="1" t="s">
        <v>233</v>
      </c>
      <c r="D43" s="1" t="s">
        <v>564</v>
      </c>
      <c r="E43" s="1" t="s">
        <v>42</v>
      </c>
      <c r="F43" s="1" t="str">
        <f>_xlfn.XLOOKUP(B43,'July 2025'!B:B,'July 2025'!F:F)</f>
        <v>Manufacturing</v>
      </c>
      <c r="G43" s="1">
        <v>50000</v>
      </c>
      <c r="H43" s="1">
        <v>45000</v>
      </c>
      <c r="I43" s="1">
        <v>0</v>
      </c>
      <c r="J43" s="1">
        <v>0</v>
      </c>
      <c r="K43" s="1" t="str">
        <f>_xlfn.XLOOKUP(B43,'July 2025'!B:B,'July 2025'!K:K)</f>
        <v>L-5</v>
      </c>
    </row>
    <row r="44" spans="1:11" x14ac:dyDescent="0.3">
      <c r="A44" s="1">
        <v>43</v>
      </c>
      <c r="B44" s="1">
        <v>10008</v>
      </c>
      <c r="C44" s="1" t="s">
        <v>87</v>
      </c>
      <c r="D44" s="1" t="s">
        <v>565</v>
      </c>
      <c r="E44" s="1" t="s">
        <v>88</v>
      </c>
      <c r="F44" s="1" t="str">
        <f>_xlfn.XLOOKUP(B44,'July 2025'!B:B,'July 2025'!F:F)</f>
        <v>Office Support</v>
      </c>
      <c r="G44" s="1">
        <v>11000</v>
      </c>
      <c r="H44" s="1">
        <v>11000</v>
      </c>
      <c r="I44" s="1">
        <v>0</v>
      </c>
      <c r="J44" s="1">
        <v>0</v>
      </c>
      <c r="K44" s="1" t="str">
        <f>_xlfn.XLOOKUP(B44,'July 2025'!B:B,'July 2025'!K:K)</f>
        <v>L-10</v>
      </c>
    </row>
    <row r="45" spans="1:11" x14ac:dyDescent="0.3">
      <c r="A45" s="1">
        <v>44</v>
      </c>
      <c r="B45" s="1">
        <v>10012</v>
      </c>
      <c r="C45" s="1" t="s">
        <v>92</v>
      </c>
      <c r="D45" s="1" t="s">
        <v>567</v>
      </c>
      <c r="E45" s="1" t="s">
        <v>93</v>
      </c>
      <c r="F45" s="1" t="s">
        <v>547</v>
      </c>
      <c r="G45" s="1">
        <v>14000</v>
      </c>
      <c r="H45" s="1">
        <v>0</v>
      </c>
      <c r="I45" s="1">
        <v>0</v>
      </c>
      <c r="J45" s="1">
        <v>0</v>
      </c>
      <c r="K45" s="1" t="s">
        <v>557</v>
      </c>
    </row>
    <row r="46" spans="1:11" x14ac:dyDescent="0.3">
      <c r="A46" s="1">
        <v>45</v>
      </c>
      <c r="B46" s="1">
        <v>62</v>
      </c>
      <c r="C46" s="1" t="s">
        <v>281</v>
      </c>
      <c r="D46" s="1" t="s">
        <v>564</v>
      </c>
      <c r="E46" s="1" t="s">
        <v>67</v>
      </c>
      <c r="F46" s="1" t="str">
        <f>_xlfn.XLOOKUP(B46,'July 2025'!B:B,'July 2025'!F:F)</f>
        <v>Manufacturing</v>
      </c>
      <c r="G46" s="1">
        <v>30000</v>
      </c>
      <c r="H46" s="1">
        <v>19000</v>
      </c>
      <c r="I46" s="1">
        <v>0</v>
      </c>
      <c r="J46" s="1">
        <v>0</v>
      </c>
      <c r="K46" s="1" t="str">
        <f>_xlfn.XLOOKUP(B46,'July 2025'!B:B,'July 2025'!K:K)</f>
        <v>L-9</v>
      </c>
    </row>
    <row r="47" spans="1:11" x14ac:dyDescent="0.3">
      <c r="A47" s="1">
        <v>46</v>
      </c>
      <c r="B47" s="1">
        <v>10014</v>
      </c>
      <c r="C47" s="1" t="s">
        <v>95</v>
      </c>
      <c r="D47" s="1" t="s">
        <v>565</v>
      </c>
      <c r="E47" s="1" t="s">
        <v>53</v>
      </c>
      <c r="F47" s="1" t="str">
        <f>_xlfn.XLOOKUP(B47,'July 2025'!B:B,'July 2025'!F:F)</f>
        <v>Manufacturing</v>
      </c>
      <c r="G47" s="1">
        <v>12000</v>
      </c>
      <c r="H47" s="1">
        <v>8000</v>
      </c>
      <c r="I47" s="1">
        <v>0</v>
      </c>
      <c r="J47" s="1">
        <v>0</v>
      </c>
      <c r="K47" s="1" t="str">
        <f>_xlfn.XLOOKUP(B47,'July 2025'!B:B,'July 2025'!K:K)</f>
        <v>L-10</v>
      </c>
    </row>
    <row r="48" spans="1:11" x14ac:dyDescent="0.3">
      <c r="A48" s="1">
        <v>47</v>
      </c>
      <c r="B48" s="1">
        <v>10015</v>
      </c>
      <c r="C48" s="1" t="s">
        <v>96</v>
      </c>
      <c r="D48" s="1" t="s">
        <v>565</v>
      </c>
      <c r="E48" s="1" t="s">
        <v>35</v>
      </c>
      <c r="F48" s="1" t="str">
        <f>_xlfn.XLOOKUP(B48,'July 2025'!B:B,'July 2025'!F:F)</f>
        <v>Manufacturing</v>
      </c>
      <c r="G48" s="1">
        <v>14000</v>
      </c>
      <c r="H48" s="1">
        <v>14000</v>
      </c>
      <c r="I48" s="1">
        <v>0</v>
      </c>
      <c r="J48" s="1">
        <v>0</v>
      </c>
      <c r="K48" s="1" t="str">
        <f>_xlfn.XLOOKUP(B48,'July 2025'!B:B,'July 2025'!K:K)</f>
        <v>L-9</v>
      </c>
    </row>
    <row r="49" spans="1:11" x14ac:dyDescent="0.3">
      <c r="A49" s="1">
        <v>48</v>
      </c>
      <c r="B49" s="1">
        <v>10017</v>
      </c>
      <c r="C49" s="1" t="s">
        <v>98</v>
      </c>
      <c r="D49" s="1" t="s">
        <v>565</v>
      </c>
      <c r="E49" s="1" t="s">
        <v>53</v>
      </c>
      <c r="F49" s="1" t="str">
        <f>_xlfn.XLOOKUP(B49,'July 2025'!B:B,'July 2025'!F:F)</f>
        <v>Manufacturing</v>
      </c>
      <c r="G49" s="1">
        <v>13000</v>
      </c>
      <c r="H49" s="1">
        <v>11267</v>
      </c>
      <c r="I49" s="1">
        <v>0</v>
      </c>
      <c r="J49" s="1">
        <v>0</v>
      </c>
      <c r="K49" s="1" t="str">
        <f>_xlfn.XLOOKUP(B49,'July 2025'!B:B,'July 2025'!K:K)</f>
        <v>L-10</v>
      </c>
    </row>
    <row r="50" spans="1:11" x14ac:dyDescent="0.3">
      <c r="A50" s="1">
        <v>49</v>
      </c>
      <c r="B50" s="1">
        <v>10018</v>
      </c>
      <c r="C50" s="1" t="s">
        <v>99</v>
      </c>
      <c r="D50" s="1" t="s">
        <v>565</v>
      </c>
      <c r="E50" s="1" t="s">
        <v>35</v>
      </c>
      <c r="F50" s="1" t="str">
        <f>_xlfn.XLOOKUP(B50,'July 2025'!B:B,'July 2025'!F:F)</f>
        <v>Manufacturing</v>
      </c>
      <c r="G50" s="1">
        <v>15700</v>
      </c>
      <c r="H50" s="1">
        <v>15177</v>
      </c>
      <c r="I50" s="1">
        <v>0</v>
      </c>
      <c r="J50" s="1">
        <v>0</v>
      </c>
      <c r="K50" s="1" t="str">
        <f>_xlfn.XLOOKUP(B50,'July 2025'!B:B,'July 2025'!K:K)</f>
        <v>L-9</v>
      </c>
    </row>
    <row r="51" spans="1:11" x14ac:dyDescent="0.3">
      <c r="A51" s="1">
        <v>50</v>
      </c>
      <c r="B51" s="1">
        <v>10020</v>
      </c>
      <c r="C51" s="1" t="s">
        <v>101</v>
      </c>
      <c r="D51" s="1" t="s">
        <v>565</v>
      </c>
      <c r="E51" s="1" t="s">
        <v>35</v>
      </c>
      <c r="F51" s="1" t="str">
        <f>_xlfn.XLOOKUP(B51,'July 2025'!B:B,'July 2025'!F:F)</f>
        <v>Manufacturing</v>
      </c>
      <c r="G51" s="1">
        <v>14500</v>
      </c>
      <c r="H51" s="1">
        <v>14017</v>
      </c>
      <c r="I51" s="1">
        <v>0</v>
      </c>
      <c r="J51" s="1">
        <v>0</v>
      </c>
      <c r="K51" s="1" t="str">
        <f>_xlfn.XLOOKUP(B51,'July 2025'!B:B,'July 2025'!K:K)</f>
        <v>L-9</v>
      </c>
    </row>
    <row r="52" spans="1:11" x14ac:dyDescent="0.3">
      <c r="A52" s="1">
        <v>51</v>
      </c>
      <c r="B52" s="1">
        <v>10021</v>
      </c>
      <c r="C52" s="1" t="s">
        <v>102</v>
      </c>
      <c r="D52" s="1" t="s">
        <v>565</v>
      </c>
      <c r="E52" s="1" t="s">
        <v>35</v>
      </c>
      <c r="F52" s="1" t="str">
        <f>_xlfn.XLOOKUP(B52,'July 2025'!B:B,'July 2025'!F:F)</f>
        <v>Manufacturing</v>
      </c>
      <c r="G52" s="1">
        <v>14200</v>
      </c>
      <c r="H52" s="1">
        <v>11360</v>
      </c>
      <c r="I52" s="1">
        <v>0</v>
      </c>
      <c r="J52" s="1">
        <v>0</v>
      </c>
      <c r="K52" s="1" t="str">
        <f>_xlfn.XLOOKUP(B52,'July 2025'!B:B,'July 2025'!K:K)</f>
        <v>L-9</v>
      </c>
    </row>
    <row r="53" spans="1:11" x14ac:dyDescent="0.3">
      <c r="A53" s="1">
        <v>52</v>
      </c>
      <c r="B53" s="1">
        <v>10027</v>
      </c>
      <c r="C53" s="1" t="s">
        <v>108</v>
      </c>
      <c r="D53" s="1" t="s">
        <v>565</v>
      </c>
      <c r="E53" s="1" t="s">
        <v>64</v>
      </c>
      <c r="F53" s="1" t="str">
        <f>_xlfn.XLOOKUP(B53,'July 2025'!B:B,'July 2025'!F:F)</f>
        <v>Domestic</v>
      </c>
      <c r="G53" s="1">
        <v>6500</v>
      </c>
      <c r="H53" s="1">
        <v>5633</v>
      </c>
      <c r="I53" s="1">
        <v>0</v>
      </c>
      <c r="J53" s="1">
        <v>0</v>
      </c>
      <c r="K53" s="1" t="str">
        <f>_xlfn.XLOOKUP(B53,'July 2025'!B:B,'July 2025'!K:K)</f>
        <v>L-7</v>
      </c>
    </row>
    <row r="54" spans="1:11" x14ac:dyDescent="0.3">
      <c r="A54" s="1">
        <v>53</v>
      </c>
      <c r="B54" s="1">
        <v>10032</v>
      </c>
      <c r="C54" s="1" t="s">
        <v>113</v>
      </c>
      <c r="D54" s="1" t="s">
        <v>565</v>
      </c>
      <c r="E54" s="1" t="s">
        <v>53</v>
      </c>
      <c r="F54" s="1" t="str">
        <f>_xlfn.XLOOKUP(B54,'July 2025'!B:B,'July 2025'!F:F)</f>
        <v>Manufacturing</v>
      </c>
      <c r="G54" s="1">
        <v>12500</v>
      </c>
      <c r="H54" s="1">
        <v>4792</v>
      </c>
      <c r="I54" s="1">
        <v>0</v>
      </c>
      <c r="J54" s="1">
        <v>0</v>
      </c>
      <c r="K54" s="1" t="str">
        <f>_xlfn.XLOOKUP(B54,'July 2025'!B:B,'July 2025'!K:K)</f>
        <v>L-10</v>
      </c>
    </row>
    <row r="55" spans="1:11" x14ac:dyDescent="0.3">
      <c r="A55" s="1">
        <v>54</v>
      </c>
      <c r="B55" s="1">
        <v>10036</v>
      </c>
      <c r="C55" s="1" t="s">
        <v>117</v>
      </c>
      <c r="D55" s="1" t="s">
        <v>565</v>
      </c>
      <c r="E55" s="1" t="s">
        <v>35</v>
      </c>
      <c r="F55" s="1" t="s">
        <v>501</v>
      </c>
      <c r="G55" s="1">
        <v>14500</v>
      </c>
      <c r="H55" s="1">
        <v>12083</v>
      </c>
      <c r="I55" s="1">
        <v>0</v>
      </c>
      <c r="J55" s="1">
        <v>0</v>
      </c>
      <c r="K55" s="1" t="s">
        <v>556</v>
      </c>
    </row>
    <row r="56" spans="1:11" x14ac:dyDescent="0.3">
      <c r="A56" s="1">
        <v>55</v>
      </c>
      <c r="B56" s="1">
        <v>10037</v>
      </c>
      <c r="C56" s="1" t="s">
        <v>118</v>
      </c>
      <c r="D56" s="1" t="s">
        <v>565</v>
      </c>
      <c r="E56" s="1" t="s">
        <v>35</v>
      </c>
      <c r="F56" s="1" t="s">
        <v>501</v>
      </c>
      <c r="G56" s="1">
        <v>15000</v>
      </c>
      <c r="H56" s="1">
        <v>15000</v>
      </c>
      <c r="I56" s="1">
        <v>0</v>
      </c>
      <c r="J56" s="1">
        <v>0</v>
      </c>
      <c r="K56" s="1" t="s">
        <v>556</v>
      </c>
    </row>
    <row r="57" spans="1:11" x14ac:dyDescent="0.3">
      <c r="A57" s="1">
        <v>56</v>
      </c>
      <c r="B57" s="1">
        <v>10041</v>
      </c>
      <c r="C57" s="1" t="s">
        <v>122</v>
      </c>
      <c r="D57" s="1" t="s">
        <v>565</v>
      </c>
      <c r="E57" s="1" t="s">
        <v>35</v>
      </c>
      <c r="F57" s="1" t="str">
        <f>_xlfn.XLOOKUP(B57,'July 2025'!B:B,'July 2025'!F:F)</f>
        <v>Manufacturing</v>
      </c>
      <c r="G57" s="1">
        <v>14000</v>
      </c>
      <c r="H57" s="1">
        <v>13067</v>
      </c>
      <c r="I57" s="1">
        <v>0</v>
      </c>
      <c r="J57" s="1">
        <v>0</v>
      </c>
      <c r="K57" s="1" t="str">
        <f>_xlfn.XLOOKUP(B57,'July 2025'!B:B,'July 2025'!K:K)</f>
        <v>L-9</v>
      </c>
    </row>
    <row r="58" spans="1:11" x14ac:dyDescent="0.3">
      <c r="A58" s="1">
        <v>57</v>
      </c>
      <c r="B58" s="1">
        <v>10043</v>
      </c>
      <c r="C58" s="1" t="s">
        <v>124</v>
      </c>
      <c r="D58" s="1" t="s">
        <v>565</v>
      </c>
      <c r="E58" s="1" t="s">
        <v>35</v>
      </c>
      <c r="F58" s="1" t="str">
        <f>_xlfn.XLOOKUP(B58,'July 2025'!B:B,'July 2025'!F:F)</f>
        <v>Domestic</v>
      </c>
      <c r="G58" s="1">
        <v>13500</v>
      </c>
      <c r="H58" s="1">
        <v>9675</v>
      </c>
      <c r="I58" s="1">
        <v>0</v>
      </c>
      <c r="J58" s="1">
        <v>0</v>
      </c>
      <c r="K58" s="1" t="str">
        <f>_xlfn.XLOOKUP(B58,'July 2025'!B:B,'July 2025'!K:K)</f>
        <v>L-9</v>
      </c>
    </row>
    <row r="59" spans="1:11" x14ac:dyDescent="0.3">
      <c r="A59" s="1">
        <v>58</v>
      </c>
      <c r="B59" s="1">
        <v>63</v>
      </c>
      <c r="C59" s="1" t="s">
        <v>284</v>
      </c>
      <c r="D59" s="1" t="s">
        <v>564</v>
      </c>
      <c r="E59" s="1" t="s">
        <v>208</v>
      </c>
      <c r="F59" s="1" t="str">
        <f>_xlfn.XLOOKUP(B59,'July 2025'!B:B,'July 2025'!F:F)</f>
        <v xml:space="preserve">Admin </v>
      </c>
      <c r="G59" s="1">
        <v>43000</v>
      </c>
      <c r="H59" s="1">
        <v>43000</v>
      </c>
      <c r="I59" s="1">
        <v>1950</v>
      </c>
      <c r="J59" s="1">
        <v>0</v>
      </c>
      <c r="K59" s="1" t="str">
        <f>_xlfn.XLOOKUP(B59,'July 2025'!B:B,'July 2025'!K:K)</f>
        <v>L-5</v>
      </c>
    </row>
    <row r="60" spans="1:11" x14ac:dyDescent="0.3">
      <c r="A60" s="1">
        <v>59</v>
      </c>
      <c r="B60" s="1">
        <v>10048</v>
      </c>
      <c r="C60" s="1" t="s">
        <v>129</v>
      </c>
      <c r="D60" s="1" t="s">
        <v>565</v>
      </c>
      <c r="E60" s="1" t="s">
        <v>130</v>
      </c>
      <c r="F60" s="1" t="s">
        <v>501</v>
      </c>
      <c r="G60" s="1">
        <v>11000</v>
      </c>
      <c r="H60" s="1">
        <v>4767</v>
      </c>
      <c r="I60" s="1">
        <v>0</v>
      </c>
      <c r="J60" s="1">
        <v>0</v>
      </c>
      <c r="K60" s="1" t="s">
        <v>556</v>
      </c>
    </row>
    <row r="61" spans="1:11" x14ac:dyDescent="0.3">
      <c r="A61" s="1">
        <v>60</v>
      </c>
      <c r="B61" s="1">
        <v>10049</v>
      </c>
      <c r="C61" s="1" t="s">
        <v>131</v>
      </c>
      <c r="D61" s="1" t="s">
        <v>565</v>
      </c>
      <c r="E61" s="1" t="s">
        <v>53</v>
      </c>
      <c r="F61" s="1" t="str">
        <f>_xlfn.XLOOKUP(B61,'July 2025'!B:B,'July 2025'!F:F)</f>
        <v>Domestic</v>
      </c>
      <c r="G61" s="1">
        <v>13000</v>
      </c>
      <c r="H61" s="1">
        <v>11700</v>
      </c>
      <c r="I61" s="1">
        <v>0</v>
      </c>
      <c r="J61" s="1">
        <v>0</v>
      </c>
      <c r="K61" s="1" t="str">
        <f>_xlfn.XLOOKUP(B61,'July 2025'!B:B,'July 2025'!K:K)</f>
        <v>L-10</v>
      </c>
    </row>
    <row r="62" spans="1:11" x14ac:dyDescent="0.3">
      <c r="A62" s="1">
        <v>61</v>
      </c>
      <c r="B62" s="1">
        <v>64</v>
      </c>
      <c r="C62" s="1" t="s">
        <v>285</v>
      </c>
      <c r="D62" s="1" t="s">
        <v>564</v>
      </c>
      <c r="E62" s="1" t="s">
        <v>286</v>
      </c>
      <c r="F62" s="1" t="str">
        <f>_xlfn.XLOOKUP(B62,'July 2025'!B:B,'July 2025'!F:F)</f>
        <v xml:space="preserve">Admin </v>
      </c>
      <c r="G62" s="1">
        <v>5000</v>
      </c>
      <c r="H62" s="1">
        <v>1250</v>
      </c>
      <c r="I62" s="1">
        <v>0</v>
      </c>
      <c r="J62" s="1">
        <v>41</v>
      </c>
      <c r="K62" s="1" t="str">
        <f>_xlfn.XLOOKUP(B62,'July 2025'!B:B,'July 2025'!K:K)</f>
        <v>L-7</v>
      </c>
    </row>
    <row r="63" spans="1:11" x14ac:dyDescent="0.3">
      <c r="A63" s="1">
        <v>62</v>
      </c>
      <c r="B63" s="1">
        <v>65</v>
      </c>
      <c r="C63" s="1" t="s">
        <v>295</v>
      </c>
      <c r="D63" s="1" t="s">
        <v>564</v>
      </c>
      <c r="E63" s="1" t="s">
        <v>67</v>
      </c>
      <c r="F63" s="1" t="str">
        <f>_xlfn.XLOOKUP(B63,'July 2025'!B:B,'July 2025'!F:F)</f>
        <v>Manufacturing</v>
      </c>
      <c r="G63" s="1">
        <v>30000</v>
      </c>
      <c r="H63" s="1">
        <v>30000</v>
      </c>
      <c r="I63" s="1">
        <v>0</v>
      </c>
      <c r="J63" s="1">
        <v>0</v>
      </c>
      <c r="K63" s="1" t="str">
        <f>_xlfn.XLOOKUP(B63,'July 2025'!B:B,'July 2025'!K:K)</f>
        <v>L-9</v>
      </c>
    </row>
    <row r="64" spans="1:11" x14ac:dyDescent="0.3">
      <c r="A64" s="1">
        <v>63</v>
      </c>
      <c r="B64" s="1">
        <v>10055</v>
      </c>
      <c r="C64" s="1" t="s">
        <v>138</v>
      </c>
      <c r="D64" s="1" t="s">
        <v>565</v>
      </c>
      <c r="E64" s="1" t="s">
        <v>53</v>
      </c>
      <c r="F64" s="1" t="str">
        <f>_xlfn.XLOOKUP(B64,'July 2025'!B:B,'July 2025'!F:F)</f>
        <v>Domestic</v>
      </c>
      <c r="G64" s="1">
        <v>11000</v>
      </c>
      <c r="H64" s="1">
        <v>9533</v>
      </c>
      <c r="I64" s="1">
        <v>0</v>
      </c>
      <c r="J64" s="1">
        <v>0</v>
      </c>
      <c r="K64" s="1" t="str">
        <f>_xlfn.XLOOKUP(B64,'July 2025'!B:B,'July 2025'!K:K)</f>
        <v>L-10</v>
      </c>
    </row>
    <row r="65" spans="1:11" x14ac:dyDescent="0.3">
      <c r="A65" s="1">
        <v>64</v>
      </c>
      <c r="B65" s="1">
        <v>66</v>
      </c>
      <c r="C65" s="1" t="s">
        <v>296</v>
      </c>
      <c r="D65" s="1" t="s">
        <v>564</v>
      </c>
      <c r="E65" s="1" t="s">
        <v>67</v>
      </c>
      <c r="F65" s="1" t="str">
        <f>_xlfn.XLOOKUP(B65,'July 2025'!B:B,'July 2025'!F:F)</f>
        <v>Manufacturing</v>
      </c>
      <c r="G65" s="1">
        <v>30000</v>
      </c>
      <c r="H65" s="1">
        <v>26299</v>
      </c>
      <c r="I65" s="1">
        <v>0</v>
      </c>
      <c r="J65" s="1">
        <v>0</v>
      </c>
      <c r="K65" s="1" t="str">
        <f>_xlfn.XLOOKUP(B65,'July 2025'!B:B,'July 2025'!K:K)</f>
        <v>L-9</v>
      </c>
    </row>
    <row r="66" spans="1:11" x14ac:dyDescent="0.3">
      <c r="A66" s="1">
        <v>65</v>
      </c>
      <c r="B66" s="1">
        <v>10061</v>
      </c>
      <c r="C66" s="1" t="s">
        <v>144</v>
      </c>
      <c r="D66" s="1" t="s">
        <v>565</v>
      </c>
      <c r="E66" s="1" t="s">
        <v>8</v>
      </c>
      <c r="F66" s="1" t="str">
        <f>_xlfn.XLOOKUP(B66,'July 2025'!B:B,'July 2025'!F:F)</f>
        <v>Manufacturing</v>
      </c>
      <c r="G66" s="1">
        <v>8800</v>
      </c>
      <c r="H66" s="1">
        <v>4400</v>
      </c>
      <c r="I66" s="1">
        <v>0</v>
      </c>
      <c r="J66" s="1">
        <v>0</v>
      </c>
      <c r="K66" s="1" t="str">
        <f>_xlfn.XLOOKUP(B66,'July 2025'!B:B,'July 2025'!K:K)</f>
        <v>L-9</v>
      </c>
    </row>
    <row r="67" spans="1:11" x14ac:dyDescent="0.3">
      <c r="A67" s="1">
        <v>66</v>
      </c>
      <c r="B67" s="1">
        <v>10062</v>
      </c>
      <c r="C67" s="1" t="s">
        <v>145</v>
      </c>
      <c r="D67" s="1" t="s">
        <v>565</v>
      </c>
      <c r="E67" s="1" t="s">
        <v>53</v>
      </c>
      <c r="F67" s="1" t="str">
        <f>_xlfn.XLOOKUP(B67,'July 2025'!B:B,'July 2025'!F:F)</f>
        <v>Manufacturing</v>
      </c>
      <c r="G67" s="1">
        <v>10500</v>
      </c>
      <c r="H67" s="1">
        <v>9800</v>
      </c>
      <c r="I67" s="1">
        <v>0</v>
      </c>
      <c r="J67" s="1">
        <v>0</v>
      </c>
      <c r="K67" s="1" t="str">
        <f>_xlfn.XLOOKUP(B67,'July 2025'!B:B,'July 2025'!K:K)</f>
        <v>L-10</v>
      </c>
    </row>
    <row r="68" spans="1:11" x14ac:dyDescent="0.3">
      <c r="A68" s="1">
        <v>67</v>
      </c>
      <c r="B68" s="1">
        <v>10063</v>
      </c>
      <c r="C68" s="1" t="s">
        <v>146</v>
      </c>
      <c r="D68" s="1" t="s">
        <v>565</v>
      </c>
      <c r="E68" s="1" t="s">
        <v>53</v>
      </c>
      <c r="F68" s="1" t="str">
        <f>_xlfn.XLOOKUP(B68,'July 2025'!B:B,'July 2025'!F:F)</f>
        <v>Manufacturing</v>
      </c>
      <c r="G68" s="1">
        <v>11000</v>
      </c>
      <c r="H68" s="1">
        <v>11000</v>
      </c>
      <c r="I68" s="1">
        <v>0</v>
      </c>
      <c r="J68" s="1">
        <v>0</v>
      </c>
      <c r="K68" s="1" t="str">
        <f>_xlfn.XLOOKUP(B68,'July 2025'!B:B,'July 2025'!K:K)</f>
        <v>L-10</v>
      </c>
    </row>
    <row r="69" spans="1:11" x14ac:dyDescent="0.3">
      <c r="A69" s="1">
        <v>68</v>
      </c>
      <c r="B69" s="1">
        <v>10064</v>
      </c>
      <c r="C69" s="1" t="s">
        <v>147</v>
      </c>
      <c r="D69" s="1" t="s">
        <v>565</v>
      </c>
      <c r="E69" s="1" t="s">
        <v>35</v>
      </c>
      <c r="F69" s="1" t="str">
        <f>_xlfn.XLOOKUP(B69,'July 2025'!B:B,'July 2025'!F:F)</f>
        <v>Manufacturing</v>
      </c>
      <c r="G69" s="1">
        <v>13500</v>
      </c>
      <c r="H69" s="1">
        <v>10350</v>
      </c>
      <c r="I69" s="1">
        <v>0</v>
      </c>
      <c r="J69" s="1">
        <v>0</v>
      </c>
      <c r="K69" s="1" t="str">
        <f>_xlfn.XLOOKUP(B69,'July 2025'!B:B,'July 2025'!K:K)</f>
        <v>L-9</v>
      </c>
    </row>
    <row r="70" spans="1:11" x14ac:dyDescent="0.3">
      <c r="A70" s="1">
        <v>69</v>
      </c>
      <c r="B70" s="1">
        <v>10068</v>
      </c>
      <c r="C70" s="1" t="s">
        <v>150</v>
      </c>
      <c r="D70" s="1" t="s">
        <v>565</v>
      </c>
      <c r="E70" s="1" t="s">
        <v>53</v>
      </c>
      <c r="F70" s="1" t="str">
        <f>_xlfn.XLOOKUP(B70,'July 2025'!B:B,'July 2025'!F:F)</f>
        <v>Domestic</v>
      </c>
      <c r="G70" s="1">
        <v>13500</v>
      </c>
      <c r="H70" s="1">
        <v>11250</v>
      </c>
      <c r="I70" s="1">
        <v>0</v>
      </c>
      <c r="J70" s="1">
        <v>0</v>
      </c>
      <c r="K70" s="1" t="str">
        <f>_xlfn.XLOOKUP(B70,'July 2025'!B:B,'July 2025'!K:K)</f>
        <v>L-10</v>
      </c>
    </row>
    <row r="71" spans="1:11" x14ac:dyDescent="0.3">
      <c r="A71" s="1">
        <v>70</v>
      </c>
      <c r="B71" s="1">
        <v>10069</v>
      </c>
      <c r="C71" s="1" t="s">
        <v>151</v>
      </c>
      <c r="D71" s="1" t="s">
        <v>565</v>
      </c>
      <c r="E71" s="1" t="s">
        <v>35</v>
      </c>
      <c r="F71" s="1" t="str">
        <f>_xlfn.XLOOKUP(B71,'July 2025'!B:B,'July 2025'!F:F)</f>
        <v>Manufacturing</v>
      </c>
      <c r="G71" s="1">
        <v>13000</v>
      </c>
      <c r="H71" s="1">
        <v>12567</v>
      </c>
      <c r="I71" s="1">
        <v>0</v>
      </c>
      <c r="J71" s="1">
        <v>0</v>
      </c>
      <c r="K71" s="1" t="str">
        <f>_xlfn.XLOOKUP(B71,'July 2025'!B:B,'July 2025'!K:K)</f>
        <v>L-9</v>
      </c>
    </row>
    <row r="72" spans="1:11" x14ac:dyDescent="0.3">
      <c r="A72" s="1">
        <v>71</v>
      </c>
      <c r="B72" s="1">
        <v>10070</v>
      </c>
      <c r="C72" s="1" t="s">
        <v>152</v>
      </c>
      <c r="D72" s="1" t="s">
        <v>565</v>
      </c>
      <c r="E72" s="1" t="s">
        <v>35</v>
      </c>
      <c r="F72" s="1" t="str">
        <f>_xlfn.XLOOKUP(B72,'July 2025'!B:B,'July 2025'!F:F)</f>
        <v>Manufacturing</v>
      </c>
      <c r="G72" s="1">
        <v>13500</v>
      </c>
      <c r="H72" s="1">
        <v>11250</v>
      </c>
      <c r="I72" s="1">
        <v>0</v>
      </c>
      <c r="J72" s="1">
        <v>0</v>
      </c>
      <c r="K72" s="1" t="str">
        <f>_xlfn.XLOOKUP(B72,'July 2025'!B:B,'July 2025'!K:K)</f>
        <v>L-9</v>
      </c>
    </row>
    <row r="73" spans="1:11" x14ac:dyDescent="0.3">
      <c r="A73" s="1">
        <v>72</v>
      </c>
      <c r="B73" s="1">
        <v>10074</v>
      </c>
      <c r="C73" s="1" t="s">
        <v>95</v>
      </c>
      <c r="D73" s="1" t="s">
        <v>565</v>
      </c>
      <c r="E73" s="1" t="s">
        <v>53</v>
      </c>
      <c r="F73" s="1" t="s">
        <v>501</v>
      </c>
      <c r="G73" s="1">
        <v>11000</v>
      </c>
      <c r="H73" s="1">
        <v>0</v>
      </c>
      <c r="I73" s="1">
        <v>0</v>
      </c>
      <c r="J73" s="1">
        <v>0</v>
      </c>
      <c r="K73" s="1" t="s">
        <v>556</v>
      </c>
    </row>
    <row r="74" spans="1:11" x14ac:dyDescent="0.3">
      <c r="A74" s="1">
        <v>73</v>
      </c>
      <c r="B74" s="1">
        <v>10076</v>
      </c>
      <c r="C74" s="1" t="s">
        <v>157</v>
      </c>
      <c r="D74" s="1" t="s">
        <v>565</v>
      </c>
      <c r="E74" s="1" t="s">
        <v>61</v>
      </c>
      <c r="F74" s="1" t="str">
        <f>_xlfn.XLOOKUP(B74,'July 2025'!B:B,'July 2025'!F:F)</f>
        <v>Manufacturing</v>
      </c>
      <c r="G74" s="1">
        <v>12500</v>
      </c>
      <c r="H74" s="1">
        <v>9584</v>
      </c>
      <c r="I74" s="1">
        <v>0</v>
      </c>
      <c r="J74" s="1">
        <v>0</v>
      </c>
      <c r="K74" s="1" t="str">
        <f>_xlfn.XLOOKUP(B74,'July 2025'!B:B,'July 2025'!K:K)</f>
        <v>L-9</v>
      </c>
    </row>
    <row r="75" spans="1:11" x14ac:dyDescent="0.3">
      <c r="A75" s="1">
        <v>74</v>
      </c>
      <c r="B75" s="1">
        <v>67</v>
      </c>
      <c r="C75" s="1" t="s">
        <v>297</v>
      </c>
      <c r="D75" s="1" t="s">
        <v>564</v>
      </c>
      <c r="E75" s="1" t="s">
        <v>67</v>
      </c>
      <c r="F75" s="1" t="str">
        <f>_xlfn.XLOOKUP(B75,'July 2025'!B:B,'July 2025'!F:F)</f>
        <v>Manufacturing</v>
      </c>
      <c r="G75" s="1">
        <v>30000</v>
      </c>
      <c r="H75" s="1">
        <v>23500</v>
      </c>
      <c r="I75" s="1">
        <v>0</v>
      </c>
      <c r="J75" s="1">
        <v>0</v>
      </c>
      <c r="K75" s="1" t="str">
        <f>_xlfn.XLOOKUP(B75,'July 2025'!B:B,'July 2025'!K:K)</f>
        <v>L-9</v>
      </c>
    </row>
    <row r="76" spans="1:11" x14ac:dyDescent="0.3">
      <c r="A76" s="1">
        <v>75</v>
      </c>
      <c r="B76" s="1">
        <v>10088</v>
      </c>
      <c r="C76" s="1" t="s">
        <v>187</v>
      </c>
      <c r="D76" s="1" t="s">
        <v>565</v>
      </c>
      <c r="E76" s="1" t="s">
        <v>35</v>
      </c>
      <c r="F76" s="1" t="s">
        <v>501</v>
      </c>
      <c r="G76" s="1">
        <v>12500</v>
      </c>
      <c r="H76" s="1">
        <v>20362</v>
      </c>
      <c r="I76" s="1">
        <v>0</v>
      </c>
      <c r="J76" s="1">
        <v>0</v>
      </c>
      <c r="K76" s="1" t="s">
        <v>556</v>
      </c>
    </row>
    <row r="77" spans="1:11" x14ac:dyDescent="0.3">
      <c r="A77" s="1">
        <v>76</v>
      </c>
      <c r="B77" s="1">
        <v>68</v>
      </c>
      <c r="C77" s="1" t="s">
        <v>298</v>
      </c>
      <c r="D77" s="1" t="s">
        <v>564</v>
      </c>
      <c r="E77" s="1" t="s">
        <v>67</v>
      </c>
      <c r="F77" s="1" t="str">
        <f>_xlfn.XLOOKUP(B77,'July 2025'!B:B,'July 2025'!F:F)</f>
        <v>Manufacturing</v>
      </c>
      <c r="G77" s="1">
        <v>30000</v>
      </c>
      <c r="H77" s="1">
        <v>27090</v>
      </c>
      <c r="I77" s="1">
        <v>0</v>
      </c>
      <c r="J77" s="1">
        <v>0</v>
      </c>
      <c r="K77" s="1" t="str">
        <f>_xlfn.XLOOKUP(B77,'July 2025'!B:B,'July 2025'!K:K)</f>
        <v>L-9</v>
      </c>
    </row>
    <row r="78" spans="1:11" x14ac:dyDescent="0.3">
      <c r="A78" s="1">
        <v>77</v>
      </c>
      <c r="B78" s="1">
        <v>69</v>
      </c>
      <c r="C78" s="1" t="s">
        <v>299</v>
      </c>
      <c r="D78" s="1" t="s">
        <v>564</v>
      </c>
      <c r="E78" s="1" t="s">
        <v>67</v>
      </c>
      <c r="F78" s="1" t="str">
        <f>_xlfn.XLOOKUP(B78,'July 2025'!B:B,'July 2025'!F:F)</f>
        <v>Manufacturing</v>
      </c>
      <c r="G78" s="1">
        <v>30000</v>
      </c>
      <c r="H78" s="1">
        <v>23000</v>
      </c>
      <c r="I78" s="1">
        <v>0</v>
      </c>
      <c r="J78" s="1">
        <v>0</v>
      </c>
      <c r="K78" s="1" t="str">
        <f>_xlfn.XLOOKUP(B78,'July 2025'!B:B,'July 2025'!K:K)</f>
        <v>L-9</v>
      </c>
    </row>
    <row r="79" spans="1:11" x14ac:dyDescent="0.3">
      <c r="A79" s="1">
        <v>78</v>
      </c>
      <c r="B79" s="1">
        <v>70</v>
      </c>
      <c r="C79" s="1" t="s">
        <v>300</v>
      </c>
      <c r="D79" s="1" t="s">
        <v>564</v>
      </c>
      <c r="E79" s="1" t="s">
        <v>67</v>
      </c>
      <c r="F79" s="1" t="str">
        <f>_xlfn.XLOOKUP(B79,'July 2025'!B:B,'July 2025'!F:F)</f>
        <v>Manufacturing</v>
      </c>
      <c r="G79" s="1">
        <v>30000</v>
      </c>
      <c r="H79" s="1">
        <v>19500</v>
      </c>
      <c r="I79" s="1">
        <v>0</v>
      </c>
      <c r="J79" s="1">
        <v>0</v>
      </c>
      <c r="K79" s="1" t="str">
        <f>_xlfn.XLOOKUP(B79,'July 2025'!B:B,'July 2025'!K:K)</f>
        <v>L-9</v>
      </c>
    </row>
    <row r="80" spans="1:11" x14ac:dyDescent="0.3">
      <c r="A80" s="1">
        <v>79</v>
      </c>
      <c r="B80" s="1">
        <v>71</v>
      </c>
      <c r="C80" s="1" t="s">
        <v>301</v>
      </c>
      <c r="D80" s="1" t="s">
        <v>564</v>
      </c>
      <c r="E80" s="1" t="s">
        <v>67</v>
      </c>
      <c r="F80" s="1" t="str">
        <f>_xlfn.XLOOKUP(B80,'July 2025'!B:B,'July 2025'!F:F)</f>
        <v>Manufacturing</v>
      </c>
      <c r="G80" s="1">
        <v>30000</v>
      </c>
      <c r="H80" s="1">
        <v>27000</v>
      </c>
      <c r="I80" s="1">
        <v>0</v>
      </c>
      <c r="J80" s="1">
        <v>0</v>
      </c>
      <c r="K80" s="1" t="str">
        <f>_xlfn.XLOOKUP(B80,'July 2025'!B:B,'July 2025'!K:K)</f>
        <v>L-9</v>
      </c>
    </row>
    <row r="81" spans="1:11" x14ac:dyDescent="0.3">
      <c r="A81" s="1">
        <v>80</v>
      </c>
      <c r="B81" s="1">
        <v>72</v>
      </c>
      <c r="C81" s="1" t="s">
        <v>302</v>
      </c>
      <c r="D81" s="1" t="s">
        <v>564</v>
      </c>
      <c r="E81" s="1" t="s">
        <v>67</v>
      </c>
      <c r="F81" s="1" t="str">
        <f>_xlfn.XLOOKUP(B81,'July 2025'!B:B,'July 2025'!F:F)</f>
        <v>Manufacturing</v>
      </c>
      <c r="G81" s="1">
        <v>30000</v>
      </c>
      <c r="H81" s="1">
        <v>25000</v>
      </c>
      <c r="I81" s="1">
        <v>0</v>
      </c>
      <c r="J81" s="1">
        <v>0</v>
      </c>
      <c r="K81" s="1" t="str">
        <f>_xlfn.XLOOKUP(B81,'July 2025'!B:B,'July 2025'!K:K)</f>
        <v>L-9</v>
      </c>
    </row>
    <row r="82" spans="1:11" x14ac:dyDescent="0.3">
      <c r="A82" s="1">
        <v>81</v>
      </c>
      <c r="B82" s="1">
        <v>10096</v>
      </c>
      <c r="C82" s="1" t="s">
        <v>210</v>
      </c>
      <c r="D82" s="1" t="s">
        <v>565</v>
      </c>
      <c r="E82" s="1" t="s">
        <v>61</v>
      </c>
      <c r="F82" s="1" t="str">
        <f>_xlfn.XLOOKUP(B82,'July 2025'!B:B,'July 2025'!F:F)</f>
        <v>Manufacturing</v>
      </c>
      <c r="G82" s="1">
        <v>13000</v>
      </c>
      <c r="H82" s="1">
        <v>12783</v>
      </c>
      <c r="I82" s="1">
        <v>0</v>
      </c>
      <c r="J82" s="1">
        <v>0</v>
      </c>
      <c r="K82" s="1" t="str">
        <f>_xlfn.XLOOKUP(B82,'July 2025'!B:B,'July 2025'!K:K)</f>
        <v>L-9</v>
      </c>
    </row>
    <row r="83" spans="1:11" x14ac:dyDescent="0.3">
      <c r="A83" s="1">
        <v>82</v>
      </c>
      <c r="B83" s="1">
        <v>10099</v>
      </c>
      <c r="C83" s="1" t="s">
        <v>212</v>
      </c>
      <c r="D83" s="1" t="s">
        <v>565</v>
      </c>
      <c r="E83" s="1" t="s">
        <v>53</v>
      </c>
      <c r="F83" s="1" t="str">
        <f>_xlfn.XLOOKUP(B83,'July 2025'!B:B,'July 2025'!F:F)</f>
        <v>Domestic</v>
      </c>
      <c r="G83" s="1">
        <v>11000</v>
      </c>
      <c r="H83" s="1">
        <v>10450</v>
      </c>
      <c r="I83" s="1">
        <v>0</v>
      </c>
      <c r="J83" s="1">
        <v>0</v>
      </c>
      <c r="K83" s="1" t="str">
        <f>_xlfn.XLOOKUP(B83,'July 2025'!B:B,'July 2025'!K:K)</f>
        <v>L-10</v>
      </c>
    </row>
    <row r="84" spans="1:11" x14ac:dyDescent="0.3">
      <c r="A84" s="1">
        <v>83</v>
      </c>
      <c r="B84" s="1">
        <v>10101</v>
      </c>
      <c r="C84" s="1" t="s">
        <v>215</v>
      </c>
      <c r="D84" s="1" t="s">
        <v>565</v>
      </c>
      <c r="E84" s="1" t="s">
        <v>35</v>
      </c>
      <c r="F84" s="1" t="str">
        <f>_xlfn.XLOOKUP(B84,'July 2025'!B:B,'July 2025'!F:F)</f>
        <v>Manufacturing</v>
      </c>
      <c r="G84" s="1">
        <v>11500</v>
      </c>
      <c r="H84" s="1">
        <v>10350</v>
      </c>
      <c r="I84" s="1">
        <v>0</v>
      </c>
      <c r="J84" s="1">
        <v>0</v>
      </c>
      <c r="K84" s="1" t="str">
        <f>_xlfn.XLOOKUP(B84,'July 2025'!B:B,'July 2025'!K:K)</f>
        <v>L-9</v>
      </c>
    </row>
    <row r="85" spans="1:11" x14ac:dyDescent="0.3">
      <c r="A85" s="1">
        <v>84</v>
      </c>
      <c r="B85" s="1">
        <v>73</v>
      </c>
      <c r="C85" s="1" t="s">
        <v>303</v>
      </c>
      <c r="D85" s="1" t="s">
        <v>564</v>
      </c>
      <c r="E85" s="1" t="s">
        <v>67</v>
      </c>
      <c r="F85" s="1" t="str">
        <f>_xlfn.XLOOKUP(B85,'July 2025'!B:B,'July 2025'!F:F)</f>
        <v>Manufacturing</v>
      </c>
      <c r="G85" s="1">
        <v>30000</v>
      </c>
      <c r="H85" s="1">
        <v>18000</v>
      </c>
      <c r="I85" s="1">
        <v>0</v>
      </c>
      <c r="J85" s="1">
        <v>0</v>
      </c>
      <c r="K85" s="1" t="str">
        <f>_xlfn.XLOOKUP(B85,'July 2025'!B:B,'July 2025'!K:K)</f>
        <v>L-9</v>
      </c>
    </row>
    <row r="86" spans="1:11" x14ac:dyDescent="0.3">
      <c r="A86" s="1">
        <v>85</v>
      </c>
      <c r="B86" s="1">
        <v>74</v>
      </c>
      <c r="C86" s="1" t="s">
        <v>304</v>
      </c>
      <c r="D86" s="1" t="s">
        <v>564</v>
      </c>
      <c r="E86" s="1" t="s">
        <v>67</v>
      </c>
      <c r="F86" s="1" t="str">
        <f>_xlfn.XLOOKUP(B86,'July 2025'!B:B,'July 2025'!F:F)</f>
        <v>Manufacturing</v>
      </c>
      <c r="G86" s="1">
        <v>30000</v>
      </c>
      <c r="H86" s="1">
        <v>17500</v>
      </c>
      <c r="I86" s="1">
        <v>0</v>
      </c>
      <c r="J86" s="1">
        <v>0</v>
      </c>
      <c r="K86" s="1" t="str">
        <f>_xlfn.XLOOKUP(B86,'July 2025'!B:B,'July 2025'!K:K)</f>
        <v>L-9</v>
      </c>
    </row>
    <row r="87" spans="1:11" x14ac:dyDescent="0.3">
      <c r="A87" s="1">
        <v>86</v>
      </c>
      <c r="B87" s="1">
        <v>75</v>
      </c>
      <c r="C87" s="1" t="s">
        <v>305</v>
      </c>
      <c r="D87" s="1" t="s">
        <v>564</v>
      </c>
      <c r="E87" s="1" t="s">
        <v>67</v>
      </c>
      <c r="F87" s="1" t="str">
        <f>_xlfn.XLOOKUP(B87,'July 2025'!B:B,'July 2025'!F:F)</f>
        <v>Manufacturing</v>
      </c>
      <c r="G87" s="1">
        <v>30000</v>
      </c>
      <c r="H87" s="1">
        <v>26000</v>
      </c>
      <c r="I87" s="1">
        <v>0</v>
      </c>
      <c r="J87" s="1">
        <v>0</v>
      </c>
      <c r="K87" s="1" t="str">
        <f>_xlfn.XLOOKUP(B87,'July 2025'!B:B,'July 2025'!K:K)</f>
        <v>L-9</v>
      </c>
    </row>
    <row r="88" spans="1:11" x14ac:dyDescent="0.3">
      <c r="A88" s="1">
        <v>87</v>
      </c>
      <c r="B88" s="1">
        <v>76</v>
      </c>
      <c r="C88" s="1" t="s">
        <v>306</v>
      </c>
      <c r="D88" s="1" t="s">
        <v>564</v>
      </c>
      <c r="E88" s="1" t="s">
        <v>67</v>
      </c>
      <c r="F88" s="1" t="str">
        <f>_xlfn.XLOOKUP(B88,'July 2025'!B:B,'July 2025'!F:F)</f>
        <v>Manufacturing</v>
      </c>
      <c r="G88" s="1">
        <v>30000</v>
      </c>
      <c r="H88" s="1">
        <v>18500</v>
      </c>
      <c r="I88" s="1">
        <v>0</v>
      </c>
      <c r="J88" s="1">
        <v>0</v>
      </c>
      <c r="K88" s="1" t="str">
        <f>_xlfn.XLOOKUP(B88,'July 2025'!B:B,'July 2025'!K:K)</f>
        <v>L-9</v>
      </c>
    </row>
    <row r="89" spans="1:11" x14ac:dyDescent="0.3">
      <c r="A89" s="1">
        <v>88</v>
      </c>
      <c r="B89" s="1">
        <v>77</v>
      </c>
      <c r="C89" s="1" t="s">
        <v>307</v>
      </c>
      <c r="D89" s="1" t="s">
        <v>564</v>
      </c>
      <c r="E89" s="1" t="s">
        <v>67</v>
      </c>
      <c r="F89" s="1" t="str">
        <f>_xlfn.XLOOKUP(B89,'July 2025'!B:B,'July 2025'!F:F)</f>
        <v>Manufacturing</v>
      </c>
      <c r="G89" s="1">
        <v>30000</v>
      </c>
      <c r="H89" s="1">
        <v>20000</v>
      </c>
      <c r="I89" s="1">
        <v>0</v>
      </c>
      <c r="J89" s="1">
        <v>0</v>
      </c>
      <c r="K89" s="1" t="str">
        <f>_xlfn.XLOOKUP(B89,'July 2025'!B:B,'July 2025'!K:K)</f>
        <v>L-9</v>
      </c>
    </row>
    <row r="90" spans="1:11" x14ac:dyDescent="0.3">
      <c r="A90" s="1">
        <v>89</v>
      </c>
      <c r="B90" s="1">
        <v>78</v>
      </c>
      <c r="C90" s="1" t="s">
        <v>308</v>
      </c>
      <c r="D90" s="1" t="s">
        <v>564</v>
      </c>
      <c r="E90" s="1" t="s">
        <v>67</v>
      </c>
      <c r="F90" s="1" t="str">
        <f>_xlfn.XLOOKUP(B90,'July 2025'!B:B,'July 2025'!F:F)</f>
        <v>Manufacturing</v>
      </c>
      <c r="G90" s="1">
        <v>30000</v>
      </c>
      <c r="H90" s="1">
        <v>23500</v>
      </c>
      <c r="I90" s="1">
        <v>0</v>
      </c>
      <c r="J90" s="1">
        <v>0</v>
      </c>
      <c r="K90" s="1" t="str">
        <f>_xlfn.XLOOKUP(B90,'July 2025'!B:B,'July 2025'!K:K)</f>
        <v>L-9</v>
      </c>
    </row>
    <row r="91" spans="1:11" x14ac:dyDescent="0.3">
      <c r="A91" s="1">
        <v>90</v>
      </c>
      <c r="B91" s="1">
        <v>10103</v>
      </c>
      <c r="C91" s="1" t="s">
        <v>222</v>
      </c>
      <c r="D91" s="1" t="s">
        <v>565</v>
      </c>
      <c r="E91" s="1" t="s">
        <v>35</v>
      </c>
      <c r="F91" s="1" t="str">
        <f>_xlfn.XLOOKUP(B91,'July 2025'!B:B,'July 2025'!F:F)</f>
        <v>Manufacturing</v>
      </c>
      <c r="G91" s="1">
        <v>12500</v>
      </c>
      <c r="H91" s="1">
        <v>11250</v>
      </c>
      <c r="I91" s="1">
        <v>0</v>
      </c>
      <c r="J91" s="1">
        <v>0</v>
      </c>
      <c r="K91" s="1" t="str">
        <f>_xlfn.XLOOKUP(B91,'July 2025'!B:B,'July 2025'!K:K)</f>
        <v>L-9</v>
      </c>
    </row>
    <row r="92" spans="1:11" x14ac:dyDescent="0.3">
      <c r="A92" s="1">
        <v>91</v>
      </c>
      <c r="B92" s="1">
        <v>10104</v>
      </c>
      <c r="C92" s="1" t="s">
        <v>223</v>
      </c>
      <c r="D92" s="1" t="s">
        <v>565</v>
      </c>
      <c r="E92" s="1" t="s">
        <v>35</v>
      </c>
      <c r="F92" s="1" t="str">
        <f>_xlfn.XLOOKUP(B92,'July 2025'!B:B,'July 2025'!F:F)</f>
        <v>Manufacturing</v>
      </c>
      <c r="G92" s="1">
        <v>13500</v>
      </c>
      <c r="H92" s="1">
        <v>12600</v>
      </c>
      <c r="I92" s="1">
        <v>0</v>
      </c>
      <c r="J92" s="1">
        <v>0</v>
      </c>
      <c r="K92" s="1" t="str">
        <f>_xlfn.XLOOKUP(B92,'July 2025'!B:B,'July 2025'!K:K)</f>
        <v>L-9</v>
      </c>
    </row>
    <row r="93" spans="1:11" x14ac:dyDescent="0.3">
      <c r="A93" s="1">
        <v>92</v>
      </c>
      <c r="B93" s="1">
        <v>79</v>
      </c>
      <c r="C93" s="1" t="s">
        <v>309</v>
      </c>
      <c r="D93" s="1" t="s">
        <v>564</v>
      </c>
      <c r="E93" s="1" t="s">
        <v>67</v>
      </c>
      <c r="F93" s="1" t="str">
        <f>_xlfn.XLOOKUP(B93,'July 2025'!B:B,'July 2025'!F:F)</f>
        <v>Manufacturing</v>
      </c>
      <c r="G93" s="1">
        <v>30000</v>
      </c>
      <c r="H93" s="1">
        <v>9000</v>
      </c>
      <c r="I93" s="1">
        <v>0</v>
      </c>
      <c r="J93" s="1">
        <v>0</v>
      </c>
      <c r="K93" s="1" t="str">
        <f>_xlfn.XLOOKUP(B93,'July 2025'!B:B,'July 2025'!K:K)</f>
        <v>L-9</v>
      </c>
    </row>
    <row r="94" spans="1:11" x14ac:dyDescent="0.3">
      <c r="A94" s="1">
        <v>93</v>
      </c>
      <c r="B94" s="1">
        <v>10109</v>
      </c>
      <c r="C94" s="1" t="s">
        <v>227</v>
      </c>
      <c r="D94" s="1" t="s">
        <v>565</v>
      </c>
      <c r="E94" s="1" t="s">
        <v>35</v>
      </c>
      <c r="F94" s="1" t="str">
        <f>_xlfn.XLOOKUP(B94,'July 2025'!B:B,'July 2025'!F:F)</f>
        <v>Manufacturing</v>
      </c>
      <c r="G94" s="1">
        <v>11500</v>
      </c>
      <c r="H94" s="1">
        <v>9967</v>
      </c>
      <c r="I94" s="1">
        <v>0</v>
      </c>
      <c r="J94" s="1">
        <v>0</v>
      </c>
      <c r="K94" s="1" t="str">
        <f>_xlfn.XLOOKUP(B94,'July 2025'!B:B,'July 2025'!K:K)</f>
        <v>L-9</v>
      </c>
    </row>
    <row r="95" spans="1:11" x14ac:dyDescent="0.3">
      <c r="A95" s="1">
        <v>94</v>
      </c>
      <c r="B95" s="1">
        <v>10110</v>
      </c>
      <c r="C95" s="1" t="s">
        <v>228</v>
      </c>
      <c r="D95" s="1" t="s">
        <v>565</v>
      </c>
      <c r="E95" s="1" t="s">
        <v>61</v>
      </c>
      <c r="F95" s="1" t="str">
        <f>_xlfn.XLOOKUP(B95,'July 2025'!B:B,'July 2025'!F:F)</f>
        <v>Manufacturing</v>
      </c>
      <c r="G95" s="1">
        <v>11500</v>
      </c>
      <c r="H95" s="1">
        <v>10733</v>
      </c>
      <c r="I95" s="1">
        <v>0</v>
      </c>
      <c r="J95" s="1">
        <v>0</v>
      </c>
      <c r="K95" s="1" t="str">
        <f>_xlfn.XLOOKUP(B95,'July 2025'!B:B,'July 2025'!K:K)</f>
        <v>L-9</v>
      </c>
    </row>
    <row r="96" spans="1:11" x14ac:dyDescent="0.3">
      <c r="A96" s="1">
        <v>95</v>
      </c>
      <c r="B96" s="1">
        <v>10111</v>
      </c>
      <c r="C96" s="1" t="s">
        <v>229</v>
      </c>
      <c r="D96" s="1" t="s">
        <v>565</v>
      </c>
      <c r="E96" s="1" t="s">
        <v>61</v>
      </c>
      <c r="F96" s="1" t="str">
        <f>_xlfn.XLOOKUP(B96,'July 2025'!B:B,'July 2025'!F:F)</f>
        <v>Manufacturing</v>
      </c>
      <c r="G96" s="1">
        <v>12500</v>
      </c>
      <c r="H96" s="1">
        <v>10833</v>
      </c>
      <c r="I96" s="1">
        <v>0</v>
      </c>
      <c r="J96" s="1">
        <v>0</v>
      </c>
      <c r="K96" s="1" t="str">
        <f>_xlfn.XLOOKUP(B96,'July 2025'!B:B,'July 2025'!K:K)</f>
        <v>L-9</v>
      </c>
    </row>
    <row r="97" spans="1:11" x14ac:dyDescent="0.3">
      <c r="A97" s="1">
        <v>96</v>
      </c>
      <c r="B97" s="1">
        <v>10112</v>
      </c>
      <c r="C97" s="1" t="s">
        <v>230</v>
      </c>
      <c r="D97" s="1" t="s">
        <v>565</v>
      </c>
      <c r="E97" s="1" t="s">
        <v>35</v>
      </c>
      <c r="F97" s="1" t="str">
        <f>_xlfn.XLOOKUP(B97,'July 2025'!B:B,'July 2025'!F:F)</f>
        <v>Manufacturing</v>
      </c>
      <c r="G97" s="1">
        <v>11000</v>
      </c>
      <c r="H97" s="1">
        <v>11000</v>
      </c>
      <c r="I97" s="1">
        <v>0</v>
      </c>
      <c r="J97" s="1">
        <v>0</v>
      </c>
      <c r="K97" s="1" t="str">
        <f>_xlfn.XLOOKUP(B97,'July 2025'!B:B,'July 2025'!K:K)</f>
        <v>L-9</v>
      </c>
    </row>
    <row r="98" spans="1:11" x14ac:dyDescent="0.3">
      <c r="A98" s="1">
        <v>97</v>
      </c>
      <c r="B98" s="1">
        <v>80</v>
      </c>
      <c r="C98" s="1" t="s">
        <v>310</v>
      </c>
      <c r="D98" s="1" t="s">
        <v>564</v>
      </c>
      <c r="E98" s="1" t="s">
        <v>67</v>
      </c>
      <c r="F98" s="1" t="str">
        <f>_xlfn.XLOOKUP(B98,'July 2025'!B:B,'July 2025'!F:F)</f>
        <v>Manufacturing</v>
      </c>
      <c r="G98" s="1">
        <v>30000</v>
      </c>
      <c r="H98" s="1">
        <v>19500</v>
      </c>
      <c r="I98" s="1">
        <v>0</v>
      </c>
      <c r="J98" s="1">
        <v>0</v>
      </c>
      <c r="K98" s="1" t="str">
        <f>_xlfn.XLOOKUP(B98,'July 2025'!B:B,'July 2025'!K:K)</f>
        <v>L-9</v>
      </c>
    </row>
    <row r="99" spans="1:11" x14ac:dyDescent="0.3">
      <c r="A99" s="1">
        <v>98</v>
      </c>
      <c r="B99" s="1">
        <v>81</v>
      </c>
      <c r="C99" s="1" t="s">
        <v>311</v>
      </c>
      <c r="D99" s="1" t="s">
        <v>564</v>
      </c>
      <c r="E99" s="1" t="s">
        <v>67</v>
      </c>
      <c r="F99" s="1" t="str">
        <f>_xlfn.XLOOKUP(B99,'July 2025'!B:B,'July 2025'!F:F)</f>
        <v>Manufacturing</v>
      </c>
      <c r="G99" s="1">
        <v>30000</v>
      </c>
      <c r="H99" s="1">
        <v>25000</v>
      </c>
      <c r="I99" s="1">
        <v>0</v>
      </c>
      <c r="J99" s="1">
        <v>0</v>
      </c>
      <c r="K99" s="1" t="str">
        <f>_xlfn.XLOOKUP(B99,'July 2025'!B:B,'July 2025'!K:K)</f>
        <v>L-9</v>
      </c>
    </row>
    <row r="100" spans="1:11" x14ac:dyDescent="0.3">
      <c r="A100" s="1">
        <v>99</v>
      </c>
      <c r="B100" s="1">
        <v>82</v>
      </c>
      <c r="C100" s="1" t="s">
        <v>312</v>
      </c>
      <c r="D100" s="1" t="s">
        <v>564</v>
      </c>
      <c r="E100" s="1" t="s">
        <v>67</v>
      </c>
      <c r="F100" s="1" t="str">
        <f>_xlfn.XLOOKUP(B100,'July 2025'!B:B,'July 2025'!F:F)</f>
        <v>Manufacturing</v>
      </c>
      <c r="G100" s="1">
        <v>30000</v>
      </c>
      <c r="H100" s="1">
        <v>2500</v>
      </c>
      <c r="I100" s="1">
        <v>0</v>
      </c>
      <c r="J100" s="1">
        <v>0</v>
      </c>
      <c r="K100" s="1" t="str">
        <f>_xlfn.XLOOKUP(B100,'July 2025'!B:B,'July 2025'!K:K)</f>
        <v>L-9</v>
      </c>
    </row>
    <row r="101" spans="1:11" x14ac:dyDescent="0.3">
      <c r="A101" s="1">
        <v>100</v>
      </c>
      <c r="B101" s="1">
        <v>10115</v>
      </c>
      <c r="C101" s="1" t="s">
        <v>236</v>
      </c>
      <c r="D101" s="1" t="s">
        <v>565</v>
      </c>
      <c r="E101" s="1" t="s">
        <v>35</v>
      </c>
      <c r="F101" s="1" t="str">
        <f>_xlfn.XLOOKUP(B101,'July 2025'!B:B,'July 2025'!F:F)</f>
        <v>Manufacturing</v>
      </c>
      <c r="G101" s="1">
        <v>12500</v>
      </c>
      <c r="H101" s="1">
        <v>11250</v>
      </c>
      <c r="I101" s="1">
        <v>0</v>
      </c>
      <c r="J101" s="1">
        <v>0</v>
      </c>
      <c r="K101" s="1" t="str">
        <f>_xlfn.XLOOKUP(B101,'July 2025'!B:B,'July 2025'!K:K)</f>
        <v>L-9</v>
      </c>
    </row>
    <row r="102" spans="1:11" x14ac:dyDescent="0.3">
      <c r="A102" s="1">
        <v>101</v>
      </c>
      <c r="B102" s="1">
        <v>10117</v>
      </c>
      <c r="C102" s="1" t="s">
        <v>238</v>
      </c>
      <c r="D102" s="1" t="s">
        <v>565</v>
      </c>
      <c r="E102" s="1" t="s">
        <v>35</v>
      </c>
      <c r="F102" s="1" t="str">
        <f>_xlfn.XLOOKUP(B102,'July 2025'!B:B,'July 2025'!F:F)</f>
        <v>Manufacturing</v>
      </c>
      <c r="G102" s="1">
        <v>11500</v>
      </c>
      <c r="H102" s="1">
        <v>4217</v>
      </c>
      <c r="I102" s="1">
        <v>0</v>
      </c>
      <c r="J102" s="1">
        <v>0</v>
      </c>
      <c r="K102" s="1" t="str">
        <f>_xlfn.XLOOKUP(B102,'July 2025'!B:B,'July 2025'!K:K)</f>
        <v>L-9</v>
      </c>
    </row>
    <row r="103" spans="1:11" x14ac:dyDescent="0.3">
      <c r="A103" s="1">
        <v>102</v>
      </c>
      <c r="B103" s="1">
        <v>10121</v>
      </c>
      <c r="C103" s="1" t="s">
        <v>241</v>
      </c>
      <c r="D103" s="1" t="s">
        <v>565</v>
      </c>
      <c r="E103" s="1" t="s">
        <v>53</v>
      </c>
      <c r="F103" s="1" t="str">
        <f>_xlfn.XLOOKUP(B103,'July 2025'!B:B,'July 2025'!F:F)</f>
        <v>Domestic</v>
      </c>
      <c r="G103" s="1">
        <v>11500</v>
      </c>
      <c r="H103" s="1">
        <v>8433</v>
      </c>
      <c r="I103" s="1">
        <v>0</v>
      </c>
      <c r="J103" s="1">
        <v>0</v>
      </c>
      <c r="K103" s="1" t="str">
        <f>_xlfn.XLOOKUP(B103,'July 2025'!B:B,'July 2025'!K:K)</f>
        <v>L-10</v>
      </c>
    </row>
    <row r="104" spans="1:11" x14ac:dyDescent="0.3">
      <c r="A104" s="1">
        <v>103</v>
      </c>
      <c r="B104" s="1">
        <v>10123</v>
      </c>
      <c r="C104" s="1" t="s">
        <v>243</v>
      </c>
      <c r="D104" s="1" t="s">
        <v>565</v>
      </c>
      <c r="E104" s="1" t="s">
        <v>53</v>
      </c>
      <c r="F104" s="1" t="s">
        <v>501</v>
      </c>
      <c r="G104" s="1">
        <v>12000</v>
      </c>
      <c r="H104" s="1">
        <v>0</v>
      </c>
      <c r="I104" s="1">
        <v>0</v>
      </c>
      <c r="J104" s="1">
        <v>0</v>
      </c>
      <c r="K104" s="1" t="s">
        <v>556</v>
      </c>
    </row>
    <row r="105" spans="1:11" x14ac:dyDescent="0.3">
      <c r="A105" s="1">
        <v>104</v>
      </c>
      <c r="B105" s="1">
        <v>10124</v>
      </c>
      <c r="C105" s="1" t="s">
        <v>244</v>
      </c>
      <c r="D105" s="1" t="s">
        <v>565</v>
      </c>
      <c r="E105" s="1" t="s">
        <v>35</v>
      </c>
      <c r="F105" s="1" t="str">
        <f>_xlfn.XLOOKUP(B105,'July 2025'!B:B,'July 2025'!F:F)</f>
        <v>Manufacturing</v>
      </c>
      <c r="G105" s="1">
        <v>14000</v>
      </c>
      <c r="H105" s="1">
        <v>13300</v>
      </c>
      <c r="I105" s="1">
        <v>0</v>
      </c>
      <c r="J105" s="1">
        <v>0</v>
      </c>
      <c r="K105" s="1" t="str">
        <f>_xlfn.XLOOKUP(B105,'July 2025'!B:B,'July 2025'!K:K)</f>
        <v>L-9</v>
      </c>
    </row>
    <row r="106" spans="1:11" x14ac:dyDescent="0.3">
      <c r="A106" s="1">
        <v>105</v>
      </c>
      <c r="B106" s="1">
        <v>10125</v>
      </c>
      <c r="C106" s="1" t="s">
        <v>245</v>
      </c>
      <c r="D106" s="1" t="s">
        <v>565</v>
      </c>
      <c r="E106" s="1" t="s">
        <v>53</v>
      </c>
      <c r="F106" s="1" t="str">
        <f>_xlfn.XLOOKUP(B106,'July 2025'!B:B,'July 2025'!F:F)</f>
        <v>Overseas</v>
      </c>
      <c r="G106" s="1">
        <v>14500</v>
      </c>
      <c r="H106" s="1">
        <v>12567</v>
      </c>
      <c r="I106" s="1">
        <v>0</v>
      </c>
      <c r="J106" s="1">
        <v>0</v>
      </c>
      <c r="K106" s="1" t="str">
        <f>_xlfn.XLOOKUP(B106,'July 2025'!B:B,'July 2025'!K:K)</f>
        <v>L-10</v>
      </c>
    </row>
    <row r="107" spans="1:11" x14ac:dyDescent="0.3">
      <c r="A107" s="1">
        <v>106</v>
      </c>
      <c r="B107" s="1">
        <v>10127</v>
      </c>
      <c r="C107" s="1" t="s">
        <v>247</v>
      </c>
      <c r="D107" s="1" t="s">
        <v>565</v>
      </c>
      <c r="E107" s="1" t="s">
        <v>35</v>
      </c>
      <c r="F107" s="1" t="str">
        <f>_xlfn.XLOOKUP(B107,'July 2025'!B:B,'July 2025'!F:F)</f>
        <v>Manufacturing</v>
      </c>
      <c r="G107" s="1">
        <v>14000</v>
      </c>
      <c r="H107" s="1">
        <v>13533</v>
      </c>
      <c r="I107" s="1">
        <v>0</v>
      </c>
      <c r="J107" s="1">
        <v>0</v>
      </c>
      <c r="K107" s="1" t="str">
        <f>_xlfn.XLOOKUP(B107,'July 2025'!B:B,'July 2025'!K:K)</f>
        <v>L-9</v>
      </c>
    </row>
    <row r="108" spans="1:11" x14ac:dyDescent="0.3">
      <c r="A108" s="1">
        <v>107</v>
      </c>
      <c r="B108" s="1">
        <v>10128</v>
      </c>
      <c r="C108" s="1" t="s">
        <v>248</v>
      </c>
      <c r="D108" s="1" t="s">
        <v>565</v>
      </c>
      <c r="E108" s="1" t="s">
        <v>35</v>
      </c>
      <c r="F108" s="1" t="str">
        <f>_xlfn.XLOOKUP(B108,'July 2025'!B:B,'July 2025'!F:F)</f>
        <v>Manufacturing</v>
      </c>
      <c r="G108" s="1">
        <v>14000</v>
      </c>
      <c r="H108" s="1">
        <v>12600</v>
      </c>
      <c r="I108" s="1">
        <v>0</v>
      </c>
      <c r="J108" s="1">
        <v>0</v>
      </c>
      <c r="K108" s="1" t="str">
        <f>_xlfn.XLOOKUP(B108,'July 2025'!B:B,'July 2025'!K:K)</f>
        <v>L-9</v>
      </c>
    </row>
    <row r="109" spans="1:11" x14ac:dyDescent="0.3">
      <c r="A109" s="1">
        <v>108</v>
      </c>
      <c r="B109" s="1">
        <v>10130</v>
      </c>
      <c r="C109" s="1" t="s">
        <v>250</v>
      </c>
      <c r="D109" s="1" t="s">
        <v>565</v>
      </c>
      <c r="E109" s="1" t="s">
        <v>35</v>
      </c>
      <c r="F109" s="1" t="s">
        <v>501</v>
      </c>
      <c r="G109" s="1">
        <v>13000</v>
      </c>
      <c r="H109" s="1">
        <v>12133</v>
      </c>
      <c r="I109" s="1">
        <v>0</v>
      </c>
      <c r="J109" s="1">
        <v>0</v>
      </c>
      <c r="K109" s="1" t="s">
        <v>556</v>
      </c>
    </row>
    <row r="110" spans="1:11" x14ac:dyDescent="0.3">
      <c r="A110" s="1">
        <v>109</v>
      </c>
      <c r="B110" s="1">
        <v>83</v>
      </c>
      <c r="C110" s="1" t="s">
        <v>313</v>
      </c>
      <c r="D110" s="1" t="s">
        <v>564</v>
      </c>
      <c r="E110" s="1" t="s">
        <v>67</v>
      </c>
      <c r="F110" s="1" t="str">
        <f>_xlfn.XLOOKUP(B110,'July 2025'!B:B,'July 2025'!F:F)</f>
        <v>Manufacturing</v>
      </c>
      <c r="G110" s="1">
        <v>30000</v>
      </c>
      <c r="H110" s="1">
        <v>20000</v>
      </c>
      <c r="I110" s="1">
        <v>0</v>
      </c>
      <c r="J110" s="1">
        <v>0</v>
      </c>
      <c r="K110" s="1" t="str">
        <f>_xlfn.XLOOKUP(B110,'July 2025'!B:B,'July 2025'!K:K)</f>
        <v>L-9</v>
      </c>
    </row>
    <row r="111" spans="1:11" x14ac:dyDescent="0.3">
      <c r="A111" s="1">
        <v>110</v>
      </c>
      <c r="B111" s="1">
        <v>10131</v>
      </c>
      <c r="C111" s="1" t="s">
        <v>253</v>
      </c>
      <c r="D111" s="1" t="s">
        <v>565</v>
      </c>
      <c r="E111" s="1" t="s">
        <v>53</v>
      </c>
      <c r="F111" s="1" t="str">
        <f>_xlfn.XLOOKUP(B111,'July 2025'!B:B,'July 2025'!F:F)</f>
        <v>Domestic</v>
      </c>
      <c r="G111" s="1">
        <v>11000</v>
      </c>
      <c r="H111" s="1">
        <v>8983</v>
      </c>
      <c r="I111" s="1">
        <v>0</v>
      </c>
      <c r="J111" s="1">
        <v>0</v>
      </c>
      <c r="K111" s="1" t="str">
        <f>_xlfn.XLOOKUP(B111,'July 2025'!B:B,'July 2025'!K:K)</f>
        <v>L-10</v>
      </c>
    </row>
    <row r="112" spans="1:11" x14ac:dyDescent="0.3">
      <c r="A112" s="1">
        <v>111</v>
      </c>
      <c r="B112" s="1">
        <v>10132</v>
      </c>
      <c r="C112" s="1" t="s">
        <v>254</v>
      </c>
      <c r="D112" s="1" t="s">
        <v>565</v>
      </c>
      <c r="E112" s="1" t="s">
        <v>35</v>
      </c>
      <c r="F112" s="1" t="s">
        <v>501</v>
      </c>
      <c r="G112" s="1">
        <v>13000</v>
      </c>
      <c r="H112" s="1">
        <v>3467</v>
      </c>
      <c r="I112" s="1">
        <v>0</v>
      </c>
      <c r="J112" s="1">
        <v>0</v>
      </c>
      <c r="K112" s="1" t="s">
        <v>556</v>
      </c>
    </row>
    <row r="113" spans="1:11" x14ac:dyDescent="0.3">
      <c r="A113" s="1">
        <v>112</v>
      </c>
      <c r="B113" s="1">
        <v>10135</v>
      </c>
      <c r="C113" s="1" t="s">
        <v>256</v>
      </c>
      <c r="D113" s="1" t="s">
        <v>565</v>
      </c>
      <c r="E113" s="1" t="s">
        <v>53</v>
      </c>
      <c r="F113" s="1" t="str">
        <f>_xlfn.XLOOKUP(B113,'July 2025'!B:B,'July 2025'!F:F)</f>
        <v>Manufacturing</v>
      </c>
      <c r="G113" s="1">
        <v>15500</v>
      </c>
      <c r="H113" s="1">
        <v>14983</v>
      </c>
      <c r="I113" s="1">
        <v>0</v>
      </c>
      <c r="J113" s="1">
        <v>0</v>
      </c>
      <c r="K113" s="1" t="str">
        <f>_xlfn.XLOOKUP(B113,'July 2025'!B:B,'July 2025'!K:K)</f>
        <v>L-10</v>
      </c>
    </row>
    <row r="114" spans="1:11" x14ac:dyDescent="0.3">
      <c r="A114" s="1">
        <v>113</v>
      </c>
      <c r="B114" s="1">
        <v>10137</v>
      </c>
      <c r="C114" s="1" t="s">
        <v>258</v>
      </c>
      <c r="D114" s="1" t="s">
        <v>565</v>
      </c>
      <c r="E114" s="1" t="s">
        <v>53</v>
      </c>
      <c r="F114" s="1" t="str">
        <f>_xlfn.XLOOKUP(B114,'July 2025'!B:B,'July 2025'!F:F)</f>
        <v>Domestic</v>
      </c>
      <c r="G114" s="1">
        <v>11000</v>
      </c>
      <c r="H114" s="1">
        <v>10633</v>
      </c>
      <c r="I114" s="1">
        <v>0</v>
      </c>
      <c r="J114" s="1">
        <v>0</v>
      </c>
      <c r="K114" s="1" t="str">
        <f>_xlfn.XLOOKUP(B114,'July 2025'!B:B,'July 2025'!K:K)</f>
        <v>L-10</v>
      </c>
    </row>
    <row r="115" spans="1:11" x14ac:dyDescent="0.3">
      <c r="A115" s="1">
        <v>114</v>
      </c>
      <c r="B115" s="1">
        <v>10139</v>
      </c>
      <c r="C115" s="1" t="s">
        <v>260</v>
      </c>
      <c r="D115" s="1" t="s">
        <v>565</v>
      </c>
      <c r="E115" s="1" t="s">
        <v>53</v>
      </c>
      <c r="F115" s="1" t="s">
        <v>501</v>
      </c>
      <c r="G115" s="1">
        <v>15000</v>
      </c>
      <c r="H115" s="1">
        <v>14500</v>
      </c>
      <c r="I115" s="1">
        <v>0</v>
      </c>
      <c r="J115" s="1">
        <v>0</v>
      </c>
      <c r="K115" s="1" t="s">
        <v>556</v>
      </c>
    </row>
    <row r="116" spans="1:11" x14ac:dyDescent="0.3">
      <c r="A116" s="1">
        <v>115</v>
      </c>
      <c r="B116" s="1">
        <v>10140</v>
      </c>
      <c r="C116" s="1" t="s">
        <v>261</v>
      </c>
      <c r="D116" s="1" t="s">
        <v>565</v>
      </c>
      <c r="E116" s="1" t="s">
        <v>35</v>
      </c>
      <c r="F116" s="1" t="str">
        <f>_xlfn.XLOOKUP(B116,'July 2025'!B:B,'July 2025'!F:F)</f>
        <v>Manufacturing</v>
      </c>
      <c r="G116" s="1">
        <v>12500</v>
      </c>
      <c r="H116" s="1">
        <v>10833</v>
      </c>
      <c r="I116" s="1">
        <v>0</v>
      </c>
      <c r="J116" s="1">
        <v>0</v>
      </c>
      <c r="K116" s="1" t="str">
        <f>_xlfn.XLOOKUP(B116,'July 2025'!B:B,'July 2025'!K:K)</f>
        <v>L-9</v>
      </c>
    </row>
    <row r="117" spans="1:11" x14ac:dyDescent="0.3">
      <c r="A117" s="1">
        <v>116</v>
      </c>
      <c r="B117" s="1">
        <v>10142</v>
      </c>
      <c r="C117" s="1" t="s">
        <v>265</v>
      </c>
      <c r="D117" s="1" t="s">
        <v>565</v>
      </c>
      <c r="E117" s="1" t="s">
        <v>35</v>
      </c>
      <c r="F117" s="1" t="s">
        <v>501</v>
      </c>
      <c r="G117" s="1">
        <v>14000</v>
      </c>
      <c r="H117" s="1">
        <v>5133</v>
      </c>
      <c r="I117" s="1">
        <v>0</v>
      </c>
      <c r="J117" s="1">
        <v>0</v>
      </c>
      <c r="K117" s="1" t="s">
        <v>556</v>
      </c>
    </row>
    <row r="118" spans="1:11" x14ac:dyDescent="0.3">
      <c r="A118" s="1">
        <v>117</v>
      </c>
      <c r="B118" s="1">
        <v>10143</v>
      </c>
      <c r="C118" s="1" t="s">
        <v>266</v>
      </c>
      <c r="D118" s="1" t="s">
        <v>565</v>
      </c>
      <c r="E118" s="1" t="s">
        <v>267</v>
      </c>
      <c r="F118" s="1" t="s">
        <v>501</v>
      </c>
      <c r="G118" s="1">
        <v>14000</v>
      </c>
      <c r="H118" s="1">
        <v>13533</v>
      </c>
      <c r="I118" s="1">
        <v>0</v>
      </c>
      <c r="J118" s="1">
        <v>0</v>
      </c>
      <c r="K118" s="1" t="s">
        <v>556</v>
      </c>
    </row>
    <row r="119" spans="1:11" x14ac:dyDescent="0.3">
      <c r="A119" s="1">
        <v>118</v>
      </c>
      <c r="B119" s="1">
        <v>10146</v>
      </c>
      <c r="C119" s="1" t="s">
        <v>270</v>
      </c>
      <c r="D119" s="1" t="s">
        <v>565</v>
      </c>
      <c r="E119" s="1" t="s">
        <v>61</v>
      </c>
      <c r="F119" s="1" t="s">
        <v>501</v>
      </c>
      <c r="G119" s="1">
        <v>13000</v>
      </c>
      <c r="H119" s="1">
        <v>12567</v>
      </c>
      <c r="I119" s="1">
        <v>0</v>
      </c>
      <c r="J119" s="1">
        <v>0</v>
      </c>
      <c r="K119" s="1" t="s">
        <v>556</v>
      </c>
    </row>
    <row r="120" spans="1:11" x14ac:dyDescent="0.3">
      <c r="A120" s="1">
        <v>119</v>
      </c>
      <c r="B120" s="1">
        <v>10147</v>
      </c>
      <c r="C120" s="1" t="s">
        <v>271</v>
      </c>
      <c r="D120" s="1" t="s">
        <v>565</v>
      </c>
      <c r="E120" s="1" t="s">
        <v>130</v>
      </c>
      <c r="F120" s="1" t="str">
        <f>_xlfn.XLOOKUP(B120,'July 2025'!B:B,'July 2025'!F:F)</f>
        <v>Manufacturing</v>
      </c>
      <c r="G120" s="1">
        <v>8500</v>
      </c>
      <c r="H120" s="1">
        <v>4675</v>
      </c>
      <c r="I120" s="1">
        <v>0</v>
      </c>
      <c r="J120" s="1">
        <v>0</v>
      </c>
      <c r="K120" s="1" t="str">
        <f>_xlfn.XLOOKUP(B120,'July 2025'!B:B,'July 2025'!K:K)</f>
        <v>L-9</v>
      </c>
    </row>
    <row r="121" spans="1:11" x14ac:dyDescent="0.3">
      <c r="A121" s="1">
        <v>120</v>
      </c>
      <c r="B121" s="1">
        <v>84</v>
      </c>
      <c r="C121" s="1" t="s">
        <v>314</v>
      </c>
      <c r="D121" s="1" t="s">
        <v>564</v>
      </c>
      <c r="E121" s="1" t="s">
        <v>67</v>
      </c>
      <c r="F121" s="1" t="str">
        <f>_xlfn.XLOOKUP(B121,'July 2025'!B:B,'July 2025'!F:F)</f>
        <v>Manufacturing</v>
      </c>
      <c r="G121" s="1">
        <v>30000</v>
      </c>
      <c r="H121" s="1">
        <v>15500</v>
      </c>
      <c r="I121" s="1">
        <v>0</v>
      </c>
      <c r="J121" s="1">
        <v>0</v>
      </c>
      <c r="K121" s="1" t="str">
        <f>_xlfn.XLOOKUP(B121,'July 2025'!B:B,'July 2025'!K:K)</f>
        <v>L-9</v>
      </c>
    </row>
    <row r="122" spans="1:11" x14ac:dyDescent="0.3">
      <c r="A122" s="1">
        <v>121</v>
      </c>
      <c r="B122" s="1">
        <v>10151</v>
      </c>
      <c r="C122" s="1" t="s">
        <v>275</v>
      </c>
      <c r="D122" s="1" t="s">
        <v>565</v>
      </c>
      <c r="E122" s="1" t="s">
        <v>35</v>
      </c>
      <c r="F122" s="1" t="s">
        <v>501</v>
      </c>
      <c r="G122" s="1">
        <v>12000</v>
      </c>
      <c r="H122" s="1">
        <v>4000</v>
      </c>
      <c r="I122" s="1">
        <v>0</v>
      </c>
      <c r="J122" s="1">
        <v>0</v>
      </c>
      <c r="K122" s="1" t="s">
        <v>556</v>
      </c>
    </row>
    <row r="123" spans="1:11" x14ac:dyDescent="0.3">
      <c r="A123" s="1">
        <v>122</v>
      </c>
      <c r="B123" s="1">
        <v>10152</v>
      </c>
      <c r="C123" s="1" t="s">
        <v>276</v>
      </c>
      <c r="D123" s="1" t="s">
        <v>565</v>
      </c>
      <c r="E123" s="1" t="s">
        <v>35</v>
      </c>
      <c r="F123" s="1" t="str">
        <f>_xlfn.XLOOKUP(B123,'July 2025'!B:B,'July 2025'!F:F)</f>
        <v>Manufacturing</v>
      </c>
      <c r="G123" s="1">
        <v>12000</v>
      </c>
      <c r="H123" s="1">
        <v>9600</v>
      </c>
      <c r="I123" s="1">
        <v>0</v>
      </c>
      <c r="J123" s="1">
        <v>0</v>
      </c>
      <c r="K123" s="1" t="str">
        <f>_xlfn.XLOOKUP(B123,'July 2025'!B:B,'July 2025'!K:K)</f>
        <v>L-9</v>
      </c>
    </row>
    <row r="124" spans="1:11" x14ac:dyDescent="0.3">
      <c r="A124" s="1">
        <v>123</v>
      </c>
      <c r="B124" s="1">
        <v>10153</v>
      </c>
      <c r="C124" s="1" t="s">
        <v>277</v>
      </c>
      <c r="D124" s="1" t="s">
        <v>565</v>
      </c>
      <c r="E124" s="1" t="s">
        <v>53</v>
      </c>
      <c r="F124" s="1" t="str">
        <f>_xlfn.XLOOKUP(B124,'July 2025'!B:B,'July 2025'!F:F)</f>
        <v>Manufacturing</v>
      </c>
      <c r="G124" s="1">
        <v>14000</v>
      </c>
      <c r="H124" s="1">
        <v>14000</v>
      </c>
      <c r="I124" s="1">
        <v>0</v>
      </c>
      <c r="J124" s="1">
        <v>0</v>
      </c>
      <c r="K124" s="1" t="str">
        <f>_xlfn.XLOOKUP(B124,'July 2025'!B:B,'July 2025'!K:K)</f>
        <v>L-10</v>
      </c>
    </row>
    <row r="125" spans="1:11" x14ac:dyDescent="0.3">
      <c r="A125" s="1">
        <v>124</v>
      </c>
      <c r="B125" s="1">
        <v>85</v>
      </c>
      <c r="C125" s="1" t="s">
        <v>315</v>
      </c>
      <c r="D125" s="1" t="s">
        <v>564</v>
      </c>
      <c r="E125" s="1" t="s">
        <v>67</v>
      </c>
      <c r="F125" s="1" t="str">
        <f>_xlfn.XLOOKUP(B125,'July 2025'!B:B,'July 2025'!F:F)</f>
        <v>Manufacturing</v>
      </c>
      <c r="G125" s="1">
        <v>30000</v>
      </c>
      <c r="H125" s="1">
        <v>21000</v>
      </c>
      <c r="I125" s="1">
        <v>0</v>
      </c>
      <c r="J125" s="1">
        <v>0</v>
      </c>
      <c r="K125" s="1" t="str">
        <f>_xlfn.XLOOKUP(B125,'July 2025'!B:B,'July 2025'!K:K)</f>
        <v>L-9</v>
      </c>
    </row>
    <row r="126" spans="1:11" x14ac:dyDescent="0.3">
      <c r="A126" s="1">
        <v>125</v>
      </c>
      <c r="B126" s="1">
        <v>86</v>
      </c>
      <c r="C126" s="1" t="s">
        <v>316</v>
      </c>
      <c r="D126" s="1" t="s">
        <v>564</v>
      </c>
      <c r="E126" s="1" t="s">
        <v>67</v>
      </c>
      <c r="F126" s="1" t="str">
        <f>_xlfn.XLOOKUP(B126,'July 2025'!B:B,'July 2025'!F:F)</f>
        <v>Manufacturing</v>
      </c>
      <c r="G126" s="1">
        <v>30000</v>
      </c>
      <c r="H126" s="1">
        <v>16500</v>
      </c>
      <c r="I126" s="1">
        <v>0</v>
      </c>
      <c r="J126" s="1">
        <v>0</v>
      </c>
      <c r="K126" s="1" t="str">
        <f>_xlfn.XLOOKUP(B126,'July 2025'!B:B,'July 2025'!K:K)</f>
        <v>L-9</v>
      </c>
    </row>
    <row r="127" spans="1:11" x14ac:dyDescent="0.3">
      <c r="A127" s="1">
        <v>126</v>
      </c>
      <c r="B127" s="1">
        <v>87</v>
      </c>
      <c r="C127" s="1" t="s">
        <v>349</v>
      </c>
      <c r="D127" s="1" t="s">
        <v>564</v>
      </c>
      <c r="E127" s="1" t="s">
        <v>67</v>
      </c>
      <c r="F127" s="1" t="str">
        <f>_xlfn.XLOOKUP(B127,'July 2025'!B:B,'July 2025'!F:F)</f>
        <v>Manufacturing</v>
      </c>
      <c r="G127" s="1">
        <v>30000</v>
      </c>
      <c r="H127" s="1">
        <v>19000</v>
      </c>
      <c r="I127" s="1">
        <v>0</v>
      </c>
      <c r="J127" s="1">
        <v>0</v>
      </c>
      <c r="K127" s="1" t="str">
        <f>_xlfn.XLOOKUP(B127,'July 2025'!B:B,'July 2025'!K:K)</f>
        <v>L-9</v>
      </c>
    </row>
    <row r="128" spans="1:11" x14ac:dyDescent="0.3">
      <c r="A128" s="1">
        <v>127</v>
      </c>
      <c r="B128" s="1">
        <v>10158</v>
      </c>
      <c r="C128" s="1" t="s">
        <v>288</v>
      </c>
      <c r="D128" s="1" t="s">
        <v>565</v>
      </c>
      <c r="E128" s="1" t="s">
        <v>235</v>
      </c>
      <c r="F128" s="1" t="s">
        <v>501</v>
      </c>
      <c r="G128" s="1">
        <v>25000</v>
      </c>
      <c r="H128" s="1">
        <v>3333</v>
      </c>
      <c r="I128" s="1">
        <v>0</v>
      </c>
      <c r="J128" s="1">
        <v>0</v>
      </c>
      <c r="K128" s="1" t="s">
        <v>556</v>
      </c>
    </row>
    <row r="129" spans="1:11" x14ac:dyDescent="0.3">
      <c r="A129" s="1">
        <v>128</v>
      </c>
      <c r="B129" s="1">
        <v>10160</v>
      </c>
      <c r="C129" s="1" t="s">
        <v>290</v>
      </c>
      <c r="D129" s="1" t="s">
        <v>565</v>
      </c>
      <c r="E129" s="1" t="s">
        <v>35</v>
      </c>
      <c r="F129" s="1" t="str">
        <f>_xlfn.XLOOKUP(B129,'July 2025'!B:B,'July 2025'!F:F)</f>
        <v>Manufacturing</v>
      </c>
      <c r="G129" s="1">
        <v>13000</v>
      </c>
      <c r="H129" s="1">
        <v>12567</v>
      </c>
      <c r="I129" s="1">
        <v>0</v>
      </c>
      <c r="J129" s="1">
        <v>0</v>
      </c>
      <c r="K129" s="1" t="str">
        <f>_xlfn.XLOOKUP(B129,'July 2025'!B:B,'July 2025'!K:K)</f>
        <v>L-9</v>
      </c>
    </row>
    <row r="130" spans="1:11" x14ac:dyDescent="0.3">
      <c r="A130" s="1">
        <v>129</v>
      </c>
      <c r="B130" s="1">
        <v>10162</v>
      </c>
      <c r="C130" s="1" t="s">
        <v>151</v>
      </c>
      <c r="D130" s="1" t="s">
        <v>565</v>
      </c>
      <c r="E130" s="1" t="s">
        <v>35</v>
      </c>
      <c r="F130" s="1" t="str">
        <f>_xlfn.XLOOKUP(B130,'July 2025'!B:B,'July 2025'!F:F)</f>
        <v>Manufacturing</v>
      </c>
      <c r="G130" s="1">
        <v>13500</v>
      </c>
      <c r="H130" s="1">
        <v>11700</v>
      </c>
      <c r="I130" s="1">
        <v>0</v>
      </c>
      <c r="J130" s="1">
        <v>0</v>
      </c>
      <c r="K130" s="1" t="str">
        <f>_xlfn.XLOOKUP(B130,'July 2025'!B:B,'July 2025'!K:K)</f>
        <v>L-9</v>
      </c>
    </row>
    <row r="131" spans="1:11" x14ac:dyDescent="0.3">
      <c r="A131" s="1">
        <v>130</v>
      </c>
      <c r="B131" s="1">
        <v>10163</v>
      </c>
      <c r="C131" s="1" t="s">
        <v>292</v>
      </c>
      <c r="D131" s="1" t="s">
        <v>565</v>
      </c>
      <c r="E131" s="1" t="s">
        <v>35</v>
      </c>
      <c r="F131" s="1" t="str">
        <f>_xlfn.XLOOKUP(B131,'July 2025'!B:B,'July 2025'!F:F)</f>
        <v>Manufacturing</v>
      </c>
      <c r="G131" s="1">
        <v>12500</v>
      </c>
      <c r="H131" s="1">
        <v>9583</v>
      </c>
      <c r="I131" s="1">
        <v>0</v>
      </c>
      <c r="J131" s="1">
        <v>0</v>
      </c>
      <c r="K131" s="1" t="str">
        <f>_xlfn.XLOOKUP(B131,'July 2025'!B:B,'July 2025'!K:K)</f>
        <v>L-9</v>
      </c>
    </row>
    <row r="132" spans="1:11" x14ac:dyDescent="0.3">
      <c r="A132" s="1">
        <v>131</v>
      </c>
      <c r="B132" s="1">
        <v>10166</v>
      </c>
      <c r="C132" s="1" t="s">
        <v>294</v>
      </c>
      <c r="D132" s="1" t="s">
        <v>565</v>
      </c>
      <c r="E132" s="1" t="s">
        <v>35</v>
      </c>
      <c r="F132" s="1" t="str">
        <f>_xlfn.XLOOKUP(B132,'July 2025'!B:B,'July 2025'!F:F)</f>
        <v>Manufacturing</v>
      </c>
      <c r="G132" s="1">
        <v>11000</v>
      </c>
      <c r="H132" s="1">
        <v>6600</v>
      </c>
      <c r="I132" s="1">
        <v>0</v>
      </c>
      <c r="J132" s="1">
        <v>0</v>
      </c>
      <c r="K132" s="1" t="str">
        <f>_xlfn.XLOOKUP(B132,'July 2025'!B:B,'July 2025'!K:K)</f>
        <v>L-9</v>
      </c>
    </row>
    <row r="133" spans="1:11" x14ac:dyDescent="0.3">
      <c r="A133" s="1">
        <v>132</v>
      </c>
      <c r="B133" s="1">
        <v>88</v>
      </c>
      <c r="C133" s="1" t="s">
        <v>318</v>
      </c>
      <c r="D133" s="1" t="s">
        <v>564</v>
      </c>
      <c r="E133" s="1" t="s">
        <v>67</v>
      </c>
      <c r="F133" s="1" t="str">
        <f>_xlfn.XLOOKUP(B133,'July 2025'!B:B,'July 2025'!F:F)</f>
        <v>Manufacturing</v>
      </c>
      <c r="G133" s="1">
        <v>30000</v>
      </c>
      <c r="H133" s="1">
        <v>15000</v>
      </c>
      <c r="I133" s="1">
        <v>0</v>
      </c>
      <c r="J133" s="1">
        <v>0</v>
      </c>
      <c r="K133" s="1" t="str">
        <f>_xlfn.XLOOKUP(B133,'July 2025'!B:B,'July 2025'!K:K)</f>
        <v>L-9</v>
      </c>
    </row>
    <row r="134" spans="1:11" x14ac:dyDescent="0.3">
      <c r="A134" s="1">
        <v>133</v>
      </c>
      <c r="B134" s="1">
        <v>89</v>
      </c>
      <c r="C134" s="1" t="s">
        <v>319</v>
      </c>
      <c r="D134" s="1" t="s">
        <v>564</v>
      </c>
      <c r="E134" s="1" t="s">
        <v>67</v>
      </c>
      <c r="F134" s="1" t="s">
        <v>501</v>
      </c>
      <c r="G134" s="1">
        <v>30000</v>
      </c>
      <c r="H134" s="1">
        <v>0</v>
      </c>
      <c r="I134" s="1">
        <v>0</v>
      </c>
      <c r="J134" s="1">
        <v>0</v>
      </c>
      <c r="K134" s="1" t="s">
        <v>556</v>
      </c>
    </row>
    <row r="135" spans="1:11" x14ac:dyDescent="0.3">
      <c r="A135" s="1">
        <v>134</v>
      </c>
      <c r="B135" s="1">
        <v>90</v>
      </c>
      <c r="C135" s="1" t="s">
        <v>320</v>
      </c>
      <c r="D135" s="1" t="s">
        <v>564</v>
      </c>
      <c r="E135" s="1" t="s">
        <v>67</v>
      </c>
      <c r="F135" s="1" t="str">
        <f>_xlfn.XLOOKUP(B135,'July 2025'!B:B,'July 2025'!F:F)</f>
        <v>Manufacturing</v>
      </c>
      <c r="G135" s="1">
        <v>30000</v>
      </c>
      <c r="H135" s="1">
        <v>21500</v>
      </c>
      <c r="I135" s="1">
        <v>0</v>
      </c>
      <c r="J135" s="1">
        <v>0</v>
      </c>
      <c r="K135" s="1" t="str">
        <f>_xlfn.XLOOKUP(B135,'July 2025'!B:B,'July 2025'!K:K)</f>
        <v>L-9</v>
      </c>
    </row>
    <row r="136" spans="1:11" x14ac:dyDescent="0.3">
      <c r="A136" s="1">
        <v>135</v>
      </c>
      <c r="B136" s="1">
        <v>91</v>
      </c>
      <c r="C136" s="1" t="s">
        <v>321</v>
      </c>
      <c r="D136" s="1" t="s">
        <v>564</v>
      </c>
      <c r="E136" s="1" t="s">
        <v>67</v>
      </c>
      <c r="F136" s="1" t="str">
        <f>_xlfn.XLOOKUP(B136,'July 2025'!B:B,'July 2025'!F:F)</f>
        <v>Manufacturing</v>
      </c>
      <c r="G136" s="1">
        <v>30000</v>
      </c>
      <c r="H136" s="1">
        <v>0</v>
      </c>
      <c r="I136" s="1">
        <v>0</v>
      </c>
      <c r="J136" s="1">
        <v>0</v>
      </c>
      <c r="K136" s="1" t="str">
        <f>_xlfn.XLOOKUP(B136,'July 2025'!B:B,'July 2025'!K:K)</f>
        <v>L-9</v>
      </c>
    </row>
    <row r="137" spans="1:11" x14ac:dyDescent="0.3">
      <c r="A137" s="1">
        <v>136</v>
      </c>
      <c r="B137" s="1">
        <v>92</v>
      </c>
      <c r="C137" s="1" t="s">
        <v>322</v>
      </c>
      <c r="D137" s="1" t="s">
        <v>564</v>
      </c>
      <c r="E137" s="1" t="s">
        <v>67</v>
      </c>
      <c r="F137" s="1" t="s">
        <v>501</v>
      </c>
      <c r="G137" s="1">
        <v>30000</v>
      </c>
      <c r="H137" s="1">
        <v>0</v>
      </c>
      <c r="I137" s="1">
        <v>0</v>
      </c>
      <c r="J137" s="1">
        <v>0</v>
      </c>
      <c r="K137" s="1" t="s">
        <v>556</v>
      </c>
    </row>
    <row r="138" spans="1:11" x14ac:dyDescent="0.3">
      <c r="A138" s="1">
        <v>137</v>
      </c>
      <c r="B138" s="1">
        <v>93</v>
      </c>
      <c r="C138" s="1" t="s">
        <v>323</v>
      </c>
      <c r="D138" s="1" t="s">
        <v>564</v>
      </c>
      <c r="E138" s="1" t="s">
        <v>67</v>
      </c>
      <c r="F138" s="1" t="str">
        <f>_xlfn.XLOOKUP(B138,'July 2025'!B:B,'July 2025'!F:F)</f>
        <v>Manufacturing</v>
      </c>
      <c r="G138" s="1">
        <v>30000</v>
      </c>
      <c r="H138" s="1">
        <v>20000</v>
      </c>
      <c r="I138" s="1">
        <v>0</v>
      </c>
      <c r="J138" s="1">
        <v>0</v>
      </c>
      <c r="K138" s="1" t="str">
        <f>_xlfn.XLOOKUP(B138,'July 2025'!B:B,'July 2025'!K:K)</f>
        <v>L-9</v>
      </c>
    </row>
    <row r="139" spans="1:11" x14ac:dyDescent="0.3">
      <c r="A139" s="1">
        <v>138</v>
      </c>
      <c r="B139" s="1">
        <v>94</v>
      </c>
      <c r="C139" s="1" t="s">
        <v>324</v>
      </c>
      <c r="D139" s="1" t="s">
        <v>564</v>
      </c>
      <c r="E139" s="1" t="s">
        <v>67</v>
      </c>
      <c r="F139" s="1" t="str">
        <f>_xlfn.XLOOKUP(B139,'July 2025'!B:B,'July 2025'!F:F)</f>
        <v>Manufacturing</v>
      </c>
      <c r="G139" s="1">
        <v>30000</v>
      </c>
      <c r="H139" s="1">
        <v>20000</v>
      </c>
      <c r="I139" s="1">
        <v>0</v>
      </c>
      <c r="J139" s="1">
        <v>0</v>
      </c>
      <c r="K139" s="1" t="str">
        <f>_xlfn.XLOOKUP(B139,'July 2025'!B:B,'July 2025'!K:K)</f>
        <v>L-9</v>
      </c>
    </row>
    <row r="140" spans="1:11" x14ac:dyDescent="0.3">
      <c r="A140" s="1">
        <v>139</v>
      </c>
      <c r="B140" s="1">
        <v>96</v>
      </c>
      <c r="C140" s="1" t="s">
        <v>326</v>
      </c>
      <c r="D140" s="1" t="s">
        <v>564</v>
      </c>
      <c r="E140" s="1" t="s">
        <v>67</v>
      </c>
      <c r="F140" s="1" t="s">
        <v>501</v>
      </c>
      <c r="G140" s="1">
        <v>30000</v>
      </c>
      <c r="H140" s="1">
        <v>0</v>
      </c>
      <c r="I140" s="1">
        <v>0</v>
      </c>
      <c r="J140" s="1">
        <v>0</v>
      </c>
      <c r="K140" s="1" t="s">
        <v>556</v>
      </c>
    </row>
    <row r="141" spans="1:11" x14ac:dyDescent="0.3">
      <c r="A141" s="1">
        <v>140</v>
      </c>
      <c r="B141" s="1">
        <v>97</v>
      </c>
      <c r="C141" s="1" t="s">
        <v>327</v>
      </c>
      <c r="D141" s="1" t="s">
        <v>564</v>
      </c>
      <c r="E141" s="1" t="s">
        <v>67</v>
      </c>
      <c r="F141" s="1" t="s">
        <v>501</v>
      </c>
      <c r="G141" s="1">
        <v>30000</v>
      </c>
      <c r="H141" s="1">
        <v>0</v>
      </c>
      <c r="I141" s="1">
        <v>0</v>
      </c>
      <c r="J141" s="1">
        <v>0</v>
      </c>
      <c r="K141" s="1" t="s">
        <v>556</v>
      </c>
    </row>
    <row r="142" spans="1:11" x14ac:dyDescent="0.3">
      <c r="A142" s="1">
        <v>141</v>
      </c>
      <c r="B142" s="1">
        <v>98</v>
      </c>
      <c r="C142" s="1" t="s">
        <v>328</v>
      </c>
      <c r="D142" s="1" t="s">
        <v>564</v>
      </c>
      <c r="E142" s="1" t="s">
        <v>67</v>
      </c>
      <c r="F142" s="1" t="s">
        <v>501</v>
      </c>
      <c r="G142" s="1">
        <v>30000</v>
      </c>
      <c r="H142" s="1">
        <v>0</v>
      </c>
      <c r="I142" s="1">
        <v>0</v>
      </c>
      <c r="J142" s="1">
        <v>0</v>
      </c>
      <c r="K142" s="1" t="s">
        <v>556</v>
      </c>
    </row>
    <row r="143" spans="1:11" x14ac:dyDescent="0.3">
      <c r="A143" s="1">
        <v>142</v>
      </c>
      <c r="B143" s="1">
        <v>99</v>
      </c>
      <c r="C143" s="1" t="s">
        <v>329</v>
      </c>
      <c r="D143" s="1" t="s">
        <v>564</v>
      </c>
      <c r="E143" s="1" t="s">
        <v>67</v>
      </c>
      <c r="F143" s="1" t="str">
        <f>_xlfn.XLOOKUP(B143,'July 2025'!B:B,'July 2025'!F:F)</f>
        <v>Manufacturing</v>
      </c>
      <c r="G143" s="1">
        <v>30000</v>
      </c>
      <c r="H143" s="1">
        <v>0</v>
      </c>
      <c r="I143" s="1">
        <v>0</v>
      </c>
      <c r="J143" s="1">
        <v>0</v>
      </c>
      <c r="K143" s="1" t="str">
        <f>_xlfn.XLOOKUP(B143,'July 2025'!B:B,'July 2025'!K:K)</f>
        <v>L-9</v>
      </c>
    </row>
    <row r="144" spans="1:11" x14ac:dyDescent="0.3">
      <c r="A144" s="1">
        <v>143</v>
      </c>
      <c r="B144" s="1">
        <v>100</v>
      </c>
      <c r="C144" s="1" t="s">
        <v>334</v>
      </c>
      <c r="D144" s="1" t="s">
        <v>564</v>
      </c>
      <c r="E144" s="1" t="s">
        <v>558</v>
      </c>
      <c r="F144" s="1" t="str">
        <f>_xlfn.XLOOKUP(B144,'July 2025'!B:B,'July 2025'!F:F)</f>
        <v xml:space="preserve">Admin </v>
      </c>
      <c r="G144" s="1">
        <v>42095</v>
      </c>
      <c r="H144" s="1">
        <v>35780</v>
      </c>
      <c r="I144" s="1">
        <v>1950</v>
      </c>
      <c r="J144" s="1">
        <v>0</v>
      </c>
      <c r="K144" s="1" t="str">
        <f>_xlfn.XLOOKUP(B144,'July 2025'!B:B,'July 2025'!K:K)</f>
        <v>L-5</v>
      </c>
    </row>
    <row r="145" spans="1:11" x14ac:dyDescent="0.3">
      <c r="A145" s="1">
        <v>144</v>
      </c>
      <c r="B145" s="1">
        <v>101</v>
      </c>
      <c r="C145" s="1" t="s">
        <v>27</v>
      </c>
      <c r="D145" s="1" t="s">
        <v>564</v>
      </c>
      <c r="E145" s="1" t="s">
        <v>10</v>
      </c>
      <c r="F145" s="1" t="s">
        <v>504</v>
      </c>
      <c r="G145" s="1">
        <v>13500</v>
      </c>
      <c r="H145" s="1">
        <v>0</v>
      </c>
      <c r="I145" s="1">
        <v>0</v>
      </c>
      <c r="J145" s="1">
        <v>0</v>
      </c>
      <c r="K145" s="1" t="s">
        <v>554</v>
      </c>
    </row>
    <row r="146" spans="1:11" x14ac:dyDescent="0.3">
      <c r="A146" s="1">
        <v>145</v>
      </c>
      <c r="B146" s="1">
        <v>103</v>
      </c>
      <c r="C146" s="1" t="s">
        <v>347</v>
      </c>
      <c r="D146" s="1" t="s">
        <v>564</v>
      </c>
      <c r="E146" s="1" t="s">
        <v>67</v>
      </c>
      <c r="F146" s="1" t="s">
        <v>501</v>
      </c>
      <c r="G146" s="1">
        <v>30000</v>
      </c>
      <c r="H146" s="1">
        <v>0</v>
      </c>
      <c r="I146" s="1">
        <v>0</v>
      </c>
      <c r="J146" s="1">
        <v>0</v>
      </c>
      <c r="K146" s="1" t="s">
        <v>556</v>
      </c>
    </row>
    <row r="147" spans="1:11" x14ac:dyDescent="0.3">
      <c r="A147" s="1">
        <v>146</v>
      </c>
      <c r="B147" s="1">
        <v>104</v>
      </c>
      <c r="C147" s="1" t="s">
        <v>377</v>
      </c>
      <c r="D147" s="1" t="s">
        <v>564</v>
      </c>
      <c r="E147" s="1" t="s">
        <v>378</v>
      </c>
      <c r="F147" s="1" t="str">
        <f>_xlfn.XLOOKUP(B147,'July 2025'!B:B,'July 2025'!F:F)</f>
        <v xml:space="preserve">Admin </v>
      </c>
      <c r="G147" s="1">
        <v>24952</v>
      </c>
      <c r="H147" s="1">
        <v>22457</v>
      </c>
      <c r="I147" s="1">
        <v>1752</v>
      </c>
      <c r="J147" s="1">
        <v>0</v>
      </c>
      <c r="K147" s="1" t="str">
        <f>_xlfn.XLOOKUP(B147,'July 2025'!B:B,'July 2025'!K:K)</f>
        <v>L-5</v>
      </c>
    </row>
    <row r="148" spans="1:11" x14ac:dyDescent="0.3">
      <c r="A148" s="1">
        <v>147</v>
      </c>
      <c r="B148" s="1">
        <v>105</v>
      </c>
      <c r="C148" s="1" t="s">
        <v>370</v>
      </c>
      <c r="D148" s="1" t="s">
        <v>564</v>
      </c>
      <c r="E148" s="1" t="s">
        <v>42</v>
      </c>
      <c r="F148" s="1" t="s">
        <v>504</v>
      </c>
      <c r="G148" s="1">
        <v>41800</v>
      </c>
      <c r="H148" s="1">
        <v>25080</v>
      </c>
      <c r="I148" s="1">
        <v>1950</v>
      </c>
      <c r="J148" s="1">
        <v>0</v>
      </c>
      <c r="K148" s="1" t="s">
        <v>552</v>
      </c>
    </row>
    <row r="149" spans="1:11" x14ac:dyDescent="0.3">
      <c r="A149" s="1">
        <v>148</v>
      </c>
      <c r="B149" s="1">
        <v>108</v>
      </c>
      <c r="C149" s="1" t="s">
        <v>371</v>
      </c>
      <c r="D149" s="1" t="s">
        <v>564</v>
      </c>
      <c r="E149" s="1" t="s">
        <v>47</v>
      </c>
      <c r="F149" s="1" t="str">
        <f>_xlfn.XLOOKUP(B149,'July 2025'!B:B,'July 2025'!F:F)</f>
        <v>D2C</v>
      </c>
      <c r="G149" s="1">
        <v>50000</v>
      </c>
      <c r="H149" s="1">
        <v>50000</v>
      </c>
      <c r="I149" s="1">
        <v>1950</v>
      </c>
      <c r="J149" s="1">
        <v>0</v>
      </c>
      <c r="K149" s="1" t="str">
        <f>_xlfn.XLOOKUP(B149,'July 2025'!B:B,'July 2025'!K:K)</f>
        <v>L-5</v>
      </c>
    </row>
    <row r="150" spans="1:11" x14ac:dyDescent="0.3">
      <c r="A150" s="1">
        <v>149</v>
      </c>
      <c r="B150" s="1">
        <v>109</v>
      </c>
      <c r="C150" s="1" t="s">
        <v>362</v>
      </c>
      <c r="D150" s="1" t="s">
        <v>564</v>
      </c>
      <c r="E150" s="1" t="s">
        <v>76</v>
      </c>
      <c r="F150" s="1" t="str">
        <f>_xlfn.XLOOKUP(B150,'July 2025'!B:B,'July 2025'!F:F)</f>
        <v>D2C</v>
      </c>
      <c r="G150" s="1">
        <v>15000</v>
      </c>
      <c r="H150" s="1">
        <v>14000</v>
      </c>
      <c r="I150" s="1">
        <v>1092</v>
      </c>
      <c r="J150" s="1">
        <v>455</v>
      </c>
      <c r="K150" s="1" t="str">
        <f>_xlfn.XLOOKUP(B150,'July 2025'!B:B,'July 2025'!K:K)</f>
        <v>L-6</v>
      </c>
    </row>
    <row r="151" spans="1:11" x14ac:dyDescent="0.3">
      <c r="A151" s="1">
        <v>150</v>
      </c>
      <c r="B151" s="1">
        <v>110</v>
      </c>
      <c r="C151" s="1" t="s">
        <v>369</v>
      </c>
      <c r="D151" s="1" t="s">
        <v>564</v>
      </c>
      <c r="E151" s="1" t="s">
        <v>10</v>
      </c>
      <c r="F151" s="1" t="str">
        <f>_xlfn.XLOOKUP(B151,'July 2025'!B:B,'July 2025'!F:F)</f>
        <v xml:space="preserve">Admin </v>
      </c>
      <c r="G151" s="1">
        <v>23170</v>
      </c>
      <c r="H151" s="1">
        <v>20080</v>
      </c>
      <c r="I151" s="1">
        <v>1566</v>
      </c>
      <c r="J151" s="1">
        <v>0</v>
      </c>
      <c r="K151" s="1" t="str">
        <f>_xlfn.XLOOKUP(B151,'July 2025'!B:B,'July 2025'!K:K)</f>
        <v>L-6</v>
      </c>
    </row>
    <row r="152" spans="1:11" x14ac:dyDescent="0.3">
      <c r="A152" s="1">
        <v>151</v>
      </c>
      <c r="B152" s="1">
        <v>111</v>
      </c>
      <c r="C152" s="1" t="s">
        <v>372</v>
      </c>
      <c r="D152" s="1" t="s">
        <v>564</v>
      </c>
      <c r="E152" s="1" t="s">
        <v>67</v>
      </c>
      <c r="F152" s="1" t="str">
        <f>_xlfn.XLOOKUP(B152,'July 2025'!B:B,'July 2025'!F:F)</f>
        <v>Manufacturing</v>
      </c>
      <c r="G152" s="1">
        <v>30000</v>
      </c>
      <c r="H152" s="1">
        <v>24000</v>
      </c>
      <c r="I152" s="1">
        <v>0</v>
      </c>
      <c r="J152" s="1">
        <v>0</v>
      </c>
      <c r="K152" s="1" t="str">
        <f>_xlfn.XLOOKUP(B152,'July 2025'!B:B,'July 2025'!K:K)</f>
        <v>L-6</v>
      </c>
    </row>
    <row r="153" spans="1:11" x14ac:dyDescent="0.3">
      <c r="A153" s="1">
        <v>152</v>
      </c>
      <c r="B153" s="1">
        <v>112</v>
      </c>
      <c r="C153" s="1" t="s">
        <v>373</v>
      </c>
      <c r="D153" s="1" t="s">
        <v>564</v>
      </c>
      <c r="E153" s="1" t="s">
        <v>67</v>
      </c>
      <c r="F153" s="1" t="str">
        <f>_xlfn.XLOOKUP(B153,'July 2025'!B:B,'July 2025'!F:F)</f>
        <v>Manufacturing</v>
      </c>
      <c r="G153" s="1">
        <v>30000</v>
      </c>
      <c r="H153" s="1">
        <v>18500</v>
      </c>
      <c r="I153" s="1">
        <v>0</v>
      </c>
      <c r="J153" s="1">
        <v>0</v>
      </c>
      <c r="K153" s="1" t="str">
        <f>_xlfn.XLOOKUP(B153,'July 2025'!B:B,'July 2025'!K:K)</f>
        <v>L-5</v>
      </c>
    </row>
    <row r="154" spans="1:11" x14ac:dyDescent="0.3">
      <c r="A154" s="1">
        <v>153</v>
      </c>
      <c r="B154" s="1">
        <v>113</v>
      </c>
      <c r="C154" s="1" t="s">
        <v>374</v>
      </c>
      <c r="D154" s="1" t="s">
        <v>564</v>
      </c>
      <c r="E154" s="1" t="s">
        <v>67</v>
      </c>
      <c r="F154" s="1" t="str">
        <f>_xlfn.XLOOKUP(B154,'July 2025'!B:B,'July 2025'!F:F)</f>
        <v>Domestic</v>
      </c>
      <c r="G154" s="1">
        <v>30000</v>
      </c>
      <c r="H154" s="1">
        <v>0</v>
      </c>
      <c r="I154" s="1">
        <v>0</v>
      </c>
      <c r="J154" s="1">
        <v>0</v>
      </c>
      <c r="K154" s="1" t="str">
        <f>_xlfn.XLOOKUP(B154,'July 2025'!B:B,'July 2025'!K:K)</f>
        <v>L-6</v>
      </c>
    </row>
    <row r="155" spans="1:11" x14ac:dyDescent="0.3">
      <c r="A155" s="1">
        <v>154</v>
      </c>
      <c r="B155" s="1">
        <v>114</v>
      </c>
      <c r="C155" s="1" t="s">
        <v>348</v>
      </c>
      <c r="D155" s="1" t="s">
        <v>564</v>
      </c>
      <c r="E155" s="1" t="s">
        <v>67</v>
      </c>
      <c r="F155" s="1" t="str">
        <f>_xlfn.XLOOKUP(B155,'July 2025'!B:B,'July 2025'!F:F)</f>
        <v>Manufacturing</v>
      </c>
      <c r="G155" s="1">
        <v>30000</v>
      </c>
      <c r="H155" s="1">
        <v>23000</v>
      </c>
      <c r="I155" s="1">
        <v>0</v>
      </c>
      <c r="J155" s="1">
        <v>0</v>
      </c>
      <c r="K155" s="1" t="str">
        <f>_xlfn.XLOOKUP(B155,'July 2025'!B:B,'July 2025'!K:K)</f>
        <v>L-9</v>
      </c>
    </row>
    <row r="156" spans="1:11" x14ac:dyDescent="0.3">
      <c r="A156" s="1">
        <v>155</v>
      </c>
      <c r="B156" s="1">
        <v>115</v>
      </c>
      <c r="C156" s="1" t="s">
        <v>344</v>
      </c>
      <c r="D156" s="1" t="s">
        <v>564</v>
      </c>
      <c r="E156" s="1" t="s">
        <v>10</v>
      </c>
      <c r="F156" s="1" t="str">
        <f>_xlfn.XLOOKUP(B156,'July 2025'!B:B,'July 2025'!F:F)</f>
        <v xml:space="preserve">Admin </v>
      </c>
      <c r="G156" s="1">
        <v>18000</v>
      </c>
      <c r="H156" s="1">
        <v>17400</v>
      </c>
      <c r="I156" s="1">
        <v>1357</v>
      </c>
      <c r="J156" s="1">
        <v>566</v>
      </c>
      <c r="K156" s="1" t="str">
        <f>_xlfn.XLOOKUP(B156,'July 2025'!B:B,'July 2025'!K:K)</f>
        <v>L-6</v>
      </c>
    </row>
    <row r="157" spans="1:11" x14ac:dyDescent="0.3">
      <c r="A157" s="1">
        <v>156</v>
      </c>
      <c r="B157" s="1">
        <v>116</v>
      </c>
      <c r="C157" s="1" t="s">
        <v>379</v>
      </c>
      <c r="D157" s="1" t="s">
        <v>564</v>
      </c>
      <c r="E157" s="1" t="s">
        <v>67</v>
      </c>
      <c r="F157" s="1" t="str">
        <f>_xlfn.XLOOKUP(B157,'July 2025'!B:B,'July 2025'!F:F)</f>
        <v>Manufacturing</v>
      </c>
      <c r="G157" s="1">
        <v>30000</v>
      </c>
      <c r="H157" s="1">
        <v>4000</v>
      </c>
      <c r="I157" s="1">
        <v>0</v>
      </c>
      <c r="J157" s="1">
        <v>0</v>
      </c>
      <c r="K157" s="1" t="str">
        <f>_xlfn.XLOOKUP(B157,'July 2025'!B:B,'July 2025'!K:K)</f>
        <v>L-9</v>
      </c>
    </row>
    <row r="158" spans="1:11" x14ac:dyDescent="0.3">
      <c r="A158" s="1">
        <v>157</v>
      </c>
      <c r="B158" s="1">
        <v>117</v>
      </c>
      <c r="C158" s="1" t="s">
        <v>380</v>
      </c>
      <c r="D158" s="1" t="s">
        <v>564</v>
      </c>
      <c r="E158" s="1" t="s">
        <v>67</v>
      </c>
      <c r="F158" s="1" t="str">
        <f>_xlfn.XLOOKUP(B158,'July 2025'!B:B,'July 2025'!F:F)</f>
        <v>Manufacturing</v>
      </c>
      <c r="G158" s="1">
        <v>30000</v>
      </c>
      <c r="H158" s="1">
        <v>3500</v>
      </c>
      <c r="I158" s="1">
        <v>0</v>
      </c>
      <c r="J158" s="1">
        <v>0</v>
      </c>
      <c r="K158" s="1" t="str">
        <f>_xlfn.XLOOKUP(B158,'July 2025'!B:B,'July 2025'!K:K)</f>
        <v>L-9</v>
      </c>
    </row>
    <row r="159" spans="1:11" x14ac:dyDescent="0.3">
      <c r="A159" s="1">
        <v>158</v>
      </c>
      <c r="B159" s="1">
        <v>118</v>
      </c>
      <c r="C159" s="1" t="s">
        <v>381</v>
      </c>
      <c r="D159" s="1" t="s">
        <v>564</v>
      </c>
      <c r="E159" s="1" t="s">
        <v>67</v>
      </c>
      <c r="F159" s="1" t="str">
        <f>_xlfn.XLOOKUP(B159,'July 2025'!B:B,'July 2025'!F:F)</f>
        <v>Manufacturing</v>
      </c>
      <c r="G159" s="1">
        <v>30000</v>
      </c>
      <c r="H159" s="1">
        <v>1000</v>
      </c>
      <c r="I159" s="1">
        <v>0</v>
      </c>
      <c r="J159" s="1">
        <v>0</v>
      </c>
      <c r="K159" s="1" t="str">
        <f>_xlfn.XLOOKUP(B159,'July 2025'!B:B,'July 2025'!K:K)</f>
        <v>L-9</v>
      </c>
    </row>
    <row r="160" spans="1:11" x14ac:dyDescent="0.3">
      <c r="A160" s="1">
        <v>159</v>
      </c>
      <c r="B160" s="1">
        <v>119</v>
      </c>
      <c r="C160" s="1" t="s">
        <v>382</v>
      </c>
      <c r="D160" s="1" t="s">
        <v>564</v>
      </c>
      <c r="E160" s="1" t="s">
        <v>67</v>
      </c>
      <c r="F160" s="1" t="str">
        <f>_xlfn.XLOOKUP(B160,'July 2025'!B:B,'July 2025'!F:F)</f>
        <v>Manufacturing</v>
      </c>
      <c r="G160" s="1">
        <v>30000</v>
      </c>
      <c r="H160" s="1">
        <v>10877</v>
      </c>
      <c r="I160" s="1">
        <v>0</v>
      </c>
      <c r="J160" s="1">
        <v>0</v>
      </c>
      <c r="K160" s="1" t="str">
        <f>_xlfn.XLOOKUP(B160,'July 2025'!B:B,'July 2025'!K:K)</f>
        <v>L-9</v>
      </c>
    </row>
    <row r="161" spans="1:11" x14ac:dyDescent="0.3">
      <c r="A161" s="1">
        <v>160</v>
      </c>
      <c r="B161" s="1">
        <v>120</v>
      </c>
      <c r="C161" s="1" t="s">
        <v>383</v>
      </c>
      <c r="D161" s="1" t="s">
        <v>564</v>
      </c>
      <c r="E161" s="1" t="s">
        <v>67</v>
      </c>
      <c r="F161" s="1" t="str">
        <f>_xlfn.XLOOKUP(B161,'July 2025'!B:B,'July 2025'!F:F)</f>
        <v>Manufacturing</v>
      </c>
      <c r="G161" s="1">
        <v>30000</v>
      </c>
      <c r="H161" s="1">
        <v>3000</v>
      </c>
      <c r="I161" s="1">
        <v>0</v>
      </c>
      <c r="J161" s="1">
        <v>0</v>
      </c>
      <c r="K161" s="1" t="str">
        <f>_xlfn.XLOOKUP(B161,'July 2025'!B:B,'July 2025'!K:K)</f>
        <v>L-9</v>
      </c>
    </row>
    <row r="162" spans="1:11" x14ac:dyDescent="0.3">
      <c r="A162" s="1">
        <v>161</v>
      </c>
      <c r="B162" s="1">
        <v>121</v>
      </c>
      <c r="C162" s="1" t="s">
        <v>384</v>
      </c>
      <c r="D162" s="1" t="s">
        <v>564</v>
      </c>
      <c r="E162" s="1" t="s">
        <v>67</v>
      </c>
      <c r="F162" s="1" t="str">
        <f>_xlfn.XLOOKUP(B162,'July 2025'!B:B,'July 2025'!F:F)</f>
        <v>Manufacturing</v>
      </c>
      <c r="G162" s="1">
        <v>30000</v>
      </c>
      <c r="H162" s="1">
        <v>9000</v>
      </c>
      <c r="I162" s="1">
        <v>0</v>
      </c>
      <c r="J162" s="1">
        <v>0</v>
      </c>
      <c r="K162" s="1" t="str">
        <f>_xlfn.XLOOKUP(B162,'July 2025'!B:B,'July 2025'!K:K)</f>
        <v>L-9</v>
      </c>
    </row>
    <row r="163" spans="1:11" x14ac:dyDescent="0.3">
      <c r="A163" s="1">
        <v>162</v>
      </c>
      <c r="B163" s="1">
        <v>122</v>
      </c>
      <c r="C163" s="1" t="s">
        <v>84</v>
      </c>
      <c r="D163" s="1" t="s">
        <v>564</v>
      </c>
      <c r="E163" s="1" t="s">
        <v>55</v>
      </c>
      <c r="F163" s="1" t="str">
        <f>_xlfn.XLOOKUP(B163,'July 2025'!B:B,'July 2025'!F:F)</f>
        <v>Domestic</v>
      </c>
      <c r="G163" s="1">
        <v>17500</v>
      </c>
      <c r="H163" s="1">
        <v>15167</v>
      </c>
      <c r="I163" s="1">
        <v>1183</v>
      </c>
      <c r="J163" s="1">
        <v>493</v>
      </c>
      <c r="K163" s="1" t="str">
        <f>_xlfn.XLOOKUP(B163,'July 2025'!B:B,'July 2025'!K:K)</f>
        <v>L-7</v>
      </c>
    </row>
    <row r="164" spans="1:11" x14ac:dyDescent="0.3">
      <c r="A164" s="1">
        <v>163</v>
      </c>
      <c r="B164" s="1">
        <v>123</v>
      </c>
      <c r="C164" s="1" t="s">
        <v>85</v>
      </c>
      <c r="D164" s="1" t="s">
        <v>564</v>
      </c>
      <c r="E164" s="1" t="s">
        <v>12</v>
      </c>
      <c r="F164" s="1" t="str">
        <f>_xlfn.XLOOKUP(B164,'July 2025'!B:B,'July 2025'!F:F)</f>
        <v>Manufacturing</v>
      </c>
      <c r="G164" s="1">
        <v>16000</v>
      </c>
      <c r="H164" s="1">
        <v>16000</v>
      </c>
      <c r="I164" s="1">
        <v>1248</v>
      </c>
      <c r="J164" s="1">
        <v>520</v>
      </c>
      <c r="K164" s="1" t="str">
        <f>_xlfn.XLOOKUP(B164,'July 2025'!B:B,'July 2025'!K:K)</f>
        <v>L-9</v>
      </c>
    </row>
    <row r="165" spans="1:11" x14ac:dyDescent="0.3">
      <c r="A165" s="1">
        <v>164</v>
      </c>
      <c r="B165" s="1">
        <v>124</v>
      </c>
      <c r="C165" s="1" t="s">
        <v>86</v>
      </c>
      <c r="D165" s="1" t="s">
        <v>564</v>
      </c>
      <c r="E165" s="1" t="s">
        <v>10</v>
      </c>
      <c r="F165" s="1" t="str">
        <f>_xlfn.XLOOKUP(B165,'July 2025'!B:B,'July 2025'!F:F)</f>
        <v>Manufacturing</v>
      </c>
      <c r="G165" s="1">
        <v>15000</v>
      </c>
      <c r="H165" s="1">
        <v>12750</v>
      </c>
      <c r="I165" s="1">
        <v>995</v>
      </c>
      <c r="J165" s="1">
        <v>415</v>
      </c>
      <c r="K165" s="1" t="str">
        <f>_xlfn.XLOOKUP(B165,'July 2025'!B:B,'July 2025'!K:K)</f>
        <v>L-7</v>
      </c>
    </row>
    <row r="166" spans="1:11" x14ac:dyDescent="0.3">
      <c r="A166" s="1">
        <v>165</v>
      </c>
      <c r="B166" s="1">
        <v>125</v>
      </c>
      <c r="C166" s="1" t="s">
        <v>127</v>
      </c>
      <c r="D166" s="1" t="s">
        <v>564</v>
      </c>
      <c r="E166" s="1" t="s">
        <v>55</v>
      </c>
      <c r="F166" s="1" t="str">
        <f>_xlfn.XLOOKUP(B166,'July 2025'!B:B,'July 2025'!F:F)</f>
        <v>Domestic</v>
      </c>
      <c r="G166" s="1">
        <v>18000</v>
      </c>
      <c r="H166" s="1">
        <v>18000</v>
      </c>
      <c r="I166" s="1">
        <v>1404</v>
      </c>
      <c r="J166" s="1">
        <v>585</v>
      </c>
      <c r="K166" s="1" t="str">
        <f>_xlfn.XLOOKUP(B166,'July 2025'!B:B,'July 2025'!K:K)</f>
        <v>L-7</v>
      </c>
    </row>
    <row r="167" spans="1:11" x14ac:dyDescent="0.3">
      <c r="A167" s="1">
        <v>166</v>
      </c>
      <c r="B167" s="1">
        <v>10167</v>
      </c>
      <c r="C167" s="1" t="s">
        <v>330</v>
      </c>
      <c r="D167" s="1" t="s">
        <v>565</v>
      </c>
      <c r="E167" s="1" t="s">
        <v>331</v>
      </c>
      <c r="F167" s="1" t="s">
        <v>501</v>
      </c>
      <c r="G167" s="1">
        <v>16000</v>
      </c>
      <c r="H167" s="1">
        <v>16000</v>
      </c>
      <c r="I167" s="1">
        <v>0</v>
      </c>
      <c r="J167" s="1">
        <v>0</v>
      </c>
      <c r="K167" s="1" t="s">
        <v>556</v>
      </c>
    </row>
    <row r="168" spans="1:11" x14ac:dyDescent="0.3">
      <c r="A168" s="1">
        <v>167</v>
      </c>
      <c r="B168" s="1">
        <v>126</v>
      </c>
      <c r="C168" s="1" t="s">
        <v>136</v>
      </c>
      <c r="D168" s="1" t="s">
        <v>564</v>
      </c>
      <c r="E168" s="1" t="s">
        <v>55</v>
      </c>
      <c r="F168" s="1" t="str">
        <f>_xlfn.XLOOKUP(B168,'July 2025'!B:B,'July 2025'!F:F)</f>
        <v>Domestic</v>
      </c>
      <c r="G168" s="1">
        <v>13000</v>
      </c>
      <c r="H168" s="1">
        <v>11483</v>
      </c>
      <c r="I168" s="1">
        <v>896</v>
      </c>
      <c r="J168" s="1">
        <v>374</v>
      </c>
      <c r="K168" s="1" t="str">
        <f>_xlfn.XLOOKUP(B168,'July 2025'!B:B,'July 2025'!K:K)</f>
        <v>L-7</v>
      </c>
    </row>
    <row r="169" spans="1:11" x14ac:dyDescent="0.3">
      <c r="A169" s="1">
        <v>168</v>
      </c>
      <c r="B169" s="1">
        <v>127</v>
      </c>
      <c r="C169" s="1" t="s">
        <v>137</v>
      </c>
      <c r="D169" s="1" t="s">
        <v>564</v>
      </c>
      <c r="E169" s="1" t="s">
        <v>55</v>
      </c>
      <c r="F169" s="1" t="str">
        <f>_xlfn.XLOOKUP(B169,'July 2025'!B:B,'July 2025'!F:F)</f>
        <v>Domestic</v>
      </c>
      <c r="G169" s="1">
        <v>14500</v>
      </c>
      <c r="H169" s="1">
        <v>14017</v>
      </c>
      <c r="I169" s="1">
        <v>1093</v>
      </c>
      <c r="J169" s="1">
        <v>456</v>
      </c>
      <c r="K169" s="1" t="str">
        <f>_xlfn.XLOOKUP(B169,'July 2025'!B:B,'July 2025'!K:K)</f>
        <v>L-7</v>
      </c>
    </row>
    <row r="170" spans="1:11" x14ac:dyDescent="0.3">
      <c r="A170" s="1">
        <v>169</v>
      </c>
      <c r="B170" s="1">
        <v>128</v>
      </c>
      <c r="C170" s="1" t="s">
        <v>159</v>
      </c>
      <c r="D170" s="1" t="s">
        <v>564</v>
      </c>
      <c r="E170" s="1" t="s">
        <v>12</v>
      </c>
      <c r="F170" s="1" t="str">
        <f>_xlfn.XLOOKUP(B170,'July 2025'!B:B,'July 2025'!F:F)</f>
        <v>Manufacturing</v>
      </c>
      <c r="G170" s="1">
        <v>19000</v>
      </c>
      <c r="H170" s="1">
        <v>14566</v>
      </c>
      <c r="I170" s="1">
        <v>1515</v>
      </c>
      <c r="J170" s="1">
        <v>474</v>
      </c>
      <c r="K170" s="1" t="str">
        <f>_xlfn.XLOOKUP(B170,'July 2025'!B:B,'July 2025'!K:K)</f>
        <v>L-9</v>
      </c>
    </row>
    <row r="171" spans="1:11" x14ac:dyDescent="0.3">
      <c r="A171" s="1">
        <v>170</v>
      </c>
      <c r="B171" s="1">
        <v>129</v>
      </c>
      <c r="C171" s="1" t="s">
        <v>204</v>
      </c>
      <c r="D171" s="1" t="s">
        <v>564</v>
      </c>
      <c r="E171" s="1" t="s">
        <v>41</v>
      </c>
      <c r="F171" s="1" t="str">
        <f>_xlfn.XLOOKUP(B171,'July 2025'!B:B,'July 2025'!F:F)</f>
        <v>Manufacturing</v>
      </c>
      <c r="G171" s="1">
        <v>17000</v>
      </c>
      <c r="H171" s="1">
        <v>17000</v>
      </c>
      <c r="I171" s="1">
        <v>1326</v>
      </c>
      <c r="J171" s="1">
        <v>553</v>
      </c>
      <c r="K171" s="1" t="str">
        <f>_xlfn.XLOOKUP(B171,'July 2025'!B:B,'July 2025'!K:K)</f>
        <v>L-8</v>
      </c>
    </row>
    <row r="172" spans="1:11" x14ac:dyDescent="0.3">
      <c r="A172" s="1">
        <v>171</v>
      </c>
      <c r="B172" s="1">
        <v>10172</v>
      </c>
      <c r="C172" s="1" t="s">
        <v>337</v>
      </c>
      <c r="D172" s="1" t="s">
        <v>565</v>
      </c>
      <c r="E172" s="1" t="s">
        <v>35</v>
      </c>
      <c r="F172" s="1" t="str">
        <f>_xlfn.XLOOKUP(B172,'July 2025'!B:B,'July 2025'!F:F)</f>
        <v>Manufacturing</v>
      </c>
      <c r="G172" s="1">
        <v>12500</v>
      </c>
      <c r="H172" s="1">
        <v>12500</v>
      </c>
      <c r="I172" s="1">
        <v>0</v>
      </c>
      <c r="J172" s="1">
        <v>0</v>
      </c>
      <c r="K172" s="1" t="str">
        <f>_xlfn.XLOOKUP(B172,'July 2025'!B:B,'July 2025'!K:K)</f>
        <v>L-9</v>
      </c>
    </row>
    <row r="173" spans="1:11" x14ac:dyDescent="0.3">
      <c r="A173" s="1">
        <v>172</v>
      </c>
      <c r="B173" s="1">
        <v>10173</v>
      </c>
      <c r="C173" s="1" t="s">
        <v>338</v>
      </c>
      <c r="D173" s="1" t="s">
        <v>565</v>
      </c>
      <c r="E173" s="1" t="s">
        <v>53</v>
      </c>
      <c r="F173" s="1" t="s">
        <v>501</v>
      </c>
      <c r="G173" s="1">
        <v>14000</v>
      </c>
      <c r="H173" s="1">
        <v>1867</v>
      </c>
      <c r="I173" s="1">
        <v>0</v>
      </c>
      <c r="J173" s="1">
        <v>0</v>
      </c>
      <c r="K173" s="1" t="s">
        <v>557</v>
      </c>
    </row>
    <row r="174" spans="1:11" x14ac:dyDescent="0.3">
      <c r="A174" s="1">
        <v>173</v>
      </c>
      <c r="B174" s="1">
        <v>130</v>
      </c>
      <c r="C174" s="1" t="s">
        <v>205</v>
      </c>
      <c r="D174" s="1" t="s">
        <v>564</v>
      </c>
      <c r="E174" s="1" t="s">
        <v>55</v>
      </c>
      <c r="F174" s="1" t="s">
        <v>504</v>
      </c>
      <c r="G174" s="1">
        <v>12500</v>
      </c>
      <c r="H174" s="1">
        <v>11250</v>
      </c>
      <c r="I174" s="1">
        <v>878</v>
      </c>
      <c r="J174" s="1">
        <v>366</v>
      </c>
      <c r="K174" s="1" t="s">
        <v>554</v>
      </c>
    </row>
    <row r="175" spans="1:11" x14ac:dyDescent="0.3">
      <c r="A175" s="1">
        <v>174</v>
      </c>
      <c r="B175" s="1">
        <v>10176</v>
      </c>
      <c r="C175" s="1" t="s">
        <v>341</v>
      </c>
      <c r="D175" s="1" t="s">
        <v>565</v>
      </c>
      <c r="E175" s="1" t="s">
        <v>53</v>
      </c>
      <c r="F175" s="1" t="s">
        <v>501</v>
      </c>
      <c r="G175" s="1">
        <v>11000</v>
      </c>
      <c r="H175" s="1">
        <v>1833</v>
      </c>
      <c r="I175" s="1">
        <v>0</v>
      </c>
      <c r="J175" s="1">
        <v>0</v>
      </c>
      <c r="K175" s="1" t="s">
        <v>557</v>
      </c>
    </row>
    <row r="176" spans="1:11" x14ac:dyDescent="0.3">
      <c r="A176" s="1">
        <v>175</v>
      </c>
      <c r="B176" s="1">
        <v>10177</v>
      </c>
      <c r="C176" s="1" t="s">
        <v>342</v>
      </c>
      <c r="D176" s="1" t="s">
        <v>565</v>
      </c>
      <c r="E176" s="1" t="s">
        <v>61</v>
      </c>
      <c r="F176" s="1" t="s">
        <v>501</v>
      </c>
      <c r="G176" s="1">
        <v>12500</v>
      </c>
      <c r="H176" s="1">
        <v>10833</v>
      </c>
      <c r="I176" s="1">
        <v>0</v>
      </c>
      <c r="J176" s="1">
        <v>0</v>
      </c>
      <c r="K176" s="1" t="s">
        <v>556</v>
      </c>
    </row>
    <row r="177" spans="1:11" x14ac:dyDescent="0.3">
      <c r="A177" s="1">
        <v>176</v>
      </c>
      <c r="B177" s="1">
        <v>10178</v>
      </c>
      <c r="C177" s="1" t="s">
        <v>343</v>
      </c>
      <c r="D177" s="1" t="s">
        <v>565</v>
      </c>
      <c r="E177" s="1" t="s">
        <v>61</v>
      </c>
      <c r="F177" s="1" t="str">
        <f>_xlfn.XLOOKUP(B177,'July 2025'!B:B,'July 2025'!F:F)</f>
        <v>Manufacturing</v>
      </c>
      <c r="G177" s="1">
        <v>12500</v>
      </c>
      <c r="H177" s="1">
        <v>12083</v>
      </c>
      <c r="I177" s="1">
        <v>0</v>
      </c>
      <c r="J177" s="1">
        <v>0</v>
      </c>
      <c r="K177" s="1" t="str">
        <f>_xlfn.XLOOKUP(B177,'July 2025'!B:B,'July 2025'!K:K)</f>
        <v>L-9</v>
      </c>
    </row>
    <row r="178" spans="1:11" x14ac:dyDescent="0.3">
      <c r="A178" s="1">
        <v>177</v>
      </c>
      <c r="B178" s="1">
        <v>131</v>
      </c>
      <c r="C178" s="1" t="s">
        <v>225</v>
      </c>
      <c r="D178" s="1" t="s">
        <v>564</v>
      </c>
      <c r="E178" s="1" t="s">
        <v>12</v>
      </c>
      <c r="F178" s="1" t="str">
        <f>_xlfn.XLOOKUP(B178,'July 2025'!B:B,'July 2025'!F:F)</f>
        <v>Manufacturing</v>
      </c>
      <c r="G178" s="1">
        <v>13000</v>
      </c>
      <c r="H178" s="1">
        <v>11700</v>
      </c>
      <c r="I178" s="1">
        <v>913</v>
      </c>
      <c r="J178" s="1">
        <v>381</v>
      </c>
      <c r="K178" s="1" t="str">
        <f>_xlfn.XLOOKUP(B178,'July 2025'!B:B,'July 2025'!K:K)</f>
        <v>L-9</v>
      </c>
    </row>
    <row r="179" spans="1:11" x14ac:dyDescent="0.3">
      <c r="A179" s="1">
        <v>178</v>
      </c>
      <c r="B179" s="1">
        <v>10180</v>
      </c>
      <c r="C179" s="1" t="s">
        <v>345</v>
      </c>
      <c r="D179" s="1" t="s">
        <v>565</v>
      </c>
      <c r="E179" s="1" t="s">
        <v>53</v>
      </c>
      <c r="F179" s="1" t="str">
        <f>_xlfn.XLOOKUP(B179,'July 2025'!B:B,'July 2025'!F:F)</f>
        <v>Overseas</v>
      </c>
      <c r="G179" s="1">
        <v>14000</v>
      </c>
      <c r="H179" s="1">
        <v>13767</v>
      </c>
      <c r="I179" s="1">
        <v>0</v>
      </c>
      <c r="J179" s="1">
        <v>0</v>
      </c>
      <c r="K179" s="1" t="str">
        <f>_xlfn.XLOOKUP(B179,'July 2025'!B:B,'July 2025'!K:K)</f>
        <v>L-10</v>
      </c>
    </row>
    <row r="180" spans="1:11" x14ac:dyDescent="0.3">
      <c r="A180" s="1">
        <v>179</v>
      </c>
      <c r="B180" s="1">
        <v>132</v>
      </c>
      <c r="C180" s="1" t="s">
        <v>232</v>
      </c>
      <c r="D180" s="1" t="s">
        <v>564</v>
      </c>
      <c r="E180" s="1" t="s">
        <v>10</v>
      </c>
      <c r="F180" s="1" t="str">
        <f>_xlfn.XLOOKUP(B180,'July 2025'!B:B,'July 2025'!F:F)</f>
        <v>Domestic</v>
      </c>
      <c r="G180" s="1">
        <v>14800</v>
      </c>
      <c r="H180" s="1">
        <v>11840</v>
      </c>
      <c r="I180" s="1">
        <v>0</v>
      </c>
      <c r="J180" s="1">
        <v>385</v>
      </c>
      <c r="K180" s="1" t="str">
        <f>_xlfn.XLOOKUP(B180,'July 2025'!B:B,'July 2025'!K:K)</f>
        <v>L-8</v>
      </c>
    </row>
    <row r="181" spans="1:11" x14ac:dyDescent="0.3">
      <c r="A181" s="1">
        <v>180</v>
      </c>
      <c r="B181" s="1">
        <v>133</v>
      </c>
      <c r="C181" s="1" t="s">
        <v>272</v>
      </c>
      <c r="D181" s="1" t="s">
        <v>564</v>
      </c>
      <c r="E181" s="1" t="s">
        <v>55</v>
      </c>
      <c r="F181" s="1" t="str">
        <f>_xlfn.XLOOKUP(B181,'July 2025'!B:B,'July 2025'!F:F)</f>
        <v>Domestic</v>
      </c>
      <c r="G181" s="1">
        <v>13000</v>
      </c>
      <c r="H181" s="1">
        <v>11700</v>
      </c>
      <c r="I181" s="1">
        <v>913</v>
      </c>
      <c r="J181" s="1">
        <v>381</v>
      </c>
      <c r="K181" s="1" t="str">
        <f>_xlfn.XLOOKUP(B181,'July 2025'!B:B,'July 2025'!K:K)</f>
        <v>L-7</v>
      </c>
    </row>
    <row r="182" spans="1:11" x14ac:dyDescent="0.3">
      <c r="A182" s="1">
        <v>181</v>
      </c>
      <c r="B182" s="1">
        <v>10182</v>
      </c>
      <c r="C182" s="1" t="s">
        <v>350</v>
      </c>
      <c r="D182" s="1" t="s">
        <v>565</v>
      </c>
      <c r="E182" s="1" t="s">
        <v>53</v>
      </c>
      <c r="F182" s="1" t="str">
        <f>_xlfn.XLOOKUP(B182,'July 2025'!B:B,'July 2025'!F:F)</f>
        <v>Domestic</v>
      </c>
      <c r="G182" s="1">
        <v>13000</v>
      </c>
      <c r="H182" s="1">
        <v>12133</v>
      </c>
      <c r="I182" s="1">
        <v>0</v>
      </c>
      <c r="J182" s="1">
        <v>0</v>
      </c>
      <c r="K182" s="1" t="str">
        <f>_xlfn.XLOOKUP(B182,'July 2025'!B:B,'July 2025'!K:K)</f>
        <v>L-10</v>
      </c>
    </row>
    <row r="183" spans="1:11" x14ac:dyDescent="0.3">
      <c r="A183" s="1">
        <v>182</v>
      </c>
      <c r="B183" s="1">
        <v>10183</v>
      </c>
      <c r="C183" s="1" t="s">
        <v>385</v>
      </c>
      <c r="D183" s="1" t="s">
        <v>565</v>
      </c>
      <c r="E183" s="1" t="s">
        <v>35</v>
      </c>
      <c r="F183" s="1" t="s">
        <v>501</v>
      </c>
      <c r="G183" s="1">
        <v>11500</v>
      </c>
      <c r="H183" s="1">
        <v>9200</v>
      </c>
      <c r="I183" s="1">
        <v>0</v>
      </c>
      <c r="J183" s="1">
        <v>0</v>
      </c>
      <c r="K183" s="1" t="s">
        <v>556</v>
      </c>
    </row>
    <row r="184" spans="1:11" x14ac:dyDescent="0.3">
      <c r="A184" s="1">
        <v>183</v>
      </c>
      <c r="B184" s="1">
        <v>10184</v>
      </c>
      <c r="C184" s="1" t="s">
        <v>352</v>
      </c>
      <c r="D184" s="1" t="s">
        <v>565</v>
      </c>
      <c r="E184" s="1" t="s">
        <v>35</v>
      </c>
      <c r="F184" s="1" t="str">
        <f>_xlfn.XLOOKUP(B184,'July 2025'!B:B,'July 2025'!F:F)</f>
        <v>Manufacturing</v>
      </c>
      <c r="G184" s="1">
        <v>11500</v>
      </c>
      <c r="H184" s="1">
        <v>11500</v>
      </c>
      <c r="I184" s="1">
        <v>0</v>
      </c>
      <c r="J184" s="1">
        <v>0</v>
      </c>
      <c r="K184" s="1" t="str">
        <f>_xlfn.XLOOKUP(B184,'July 2025'!B:B,'July 2025'!K:K)</f>
        <v>L-9</v>
      </c>
    </row>
    <row r="185" spans="1:11" x14ac:dyDescent="0.3">
      <c r="A185" s="1">
        <v>184</v>
      </c>
      <c r="B185" s="1">
        <v>10185</v>
      </c>
      <c r="C185" s="1" t="s">
        <v>353</v>
      </c>
      <c r="D185" s="1" t="s">
        <v>565</v>
      </c>
      <c r="E185" s="1" t="s">
        <v>35</v>
      </c>
      <c r="F185" s="1" t="str">
        <f>_xlfn.XLOOKUP(B185,'July 2025'!B:B,'July 2025'!F:F)</f>
        <v>Manufacturing</v>
      </c>
      <c r="G185" s="1">
        <v>13500</v>
      </c>
      <c r="H185" s="1">
        <v>13500</v>
      </c>
      <c r="I185" s="1">
        <v>0</v>
      </c>
      <c r="J185" s="1">
        <v>0</v>
      </c>
      <c r="K185" s="1" t="str">
        <f>_xlfn.XLOOKUP(B185,'July 2025'!B:B,'July 2025'!K:K)</f>
        <v>L-9</v>
      </c>
    </row>
    <row r="186" spans="1:11" x14ac:dyDescent="0.3">
      <c r="A186" s="1">
        <v>185</v>
      </c>
      <c r="B186" s="1">
        <v>10186</v>
      </c>
      <c r="C186" s="1" t="s">
        <v>354</v>
      </c>
      <c r="D186" s="1" t="s">
        <v>565</v>
      </c>
      <c r="E186" s="1" t="s">
        <v>35</v>
      </c>
      <c r="F186" s="1" t="str">
        <f>_xlfn.XLOOKUP(B186,'July 2025'!B:B,'July 2025'!F:F)</f>
        <v>Manufacturing</v>
      </c>
      <c r="G186" s="1">
        <v>12000</v>
      </c>
      <c r="H186" s="1">
        <v>9200</v>
      </c>
      <c r="I186" s="1">
        <v>0</v>
      </c>
      <c r="J186" s="1">
        <v>0</v>
      </c>
      <c r="K186" s="1" t="str">
        <f>_xlfn.XLOOKUP(B186,'July 2025'!B:B,'July 2025'!K:K)</f>
        <v>L-9</v>
      </c>
    </row>
    <row r="187" spans="1:11" x14ac:dyDescent="0.3">
      <c r="A187" s="1">
        <v>186</v>
      </c>
      <c r="B187" s="1">
        <v>10187</v>
      </c>
      <c r="C187" s="1" t="s">
        <v>43</v>
      </c>
      <c r="D187" s="1" t="s">
        <v>565</v>
      </c>
      <c r="E187" s="1" t="s">
        <v>35</v>
      </c>
      <c r="F187" s="1" t="str">
        <f>_xlfn.XLOOKUP(B187,'July 2025'!B:B,'July 2025'!F:F)</f>
        <v>Manufacturing</v>
      </c>
      <c r="G187" s="1">
        <v>12000</v>
      </c>
      <c r="H187" s="1">
        <v>9200</v>
      </c>
      <c r="I187" s="1">
        <v>0</v>
      </c>
      <c r="J187" s="1">
        <v>0</v>
      </c>
      <c r="K187" s="1" t="str">
        <f>_xlfn.XLOOKUP(B187,'July 2025'!B:B,'July 2025'!K:K)</f>
        <v>L-9</v>
      </c>
    </row>
    <row r="188" spans="1:11" x14ac:dyDescent="0.3">
      <c r="A188" s="1">
        <v>187</v>
      </c>
      <c r="B188" s="1">
        <v>10188</v>
      </c>
      <c r="C188" s="1" t="s">
        <v>355</v>
      </c>
      <c r="D188" s="1" t="s">
        <v>565</v>
      </c>
      <c r="E188" s="1" t="s">
        <v>35</v>
      </c>
      <c r="F188" s="1" t="s">
        <v>501</v>
      </c>
      <c r="G188" s="1">
        <v>12500</v>
      </c>
      <c r="H188" s="1">
        <v>11667</v>
      </c>
      <c r="I188" s="1">
        <v>0</v>
      </c>
      <c r="J188" s="1">
        <v>0</v>
      </c>
      <c r="K188" s="1" t="s">
        <v>556</v>
      </c>
    </row>
    <row r="189" spans="1:11" x14ac:dyDescent="0.3">
      <c r="A189" s="1">
        <v>188</v>
      </c>
      <c r="B189" s="1">
        <v>10189</v>
      </c>
      <c r="C189" s="1" t="s">
        <v>356</v>
      </c>
      <c r="D189" s="1" t="s">
        <v>565</v>
      </c>
      <c r="E189" s="1" t="s">
        <v>35</v>
      </c>
      <c r="F189" s="1" t="str">
        <f>_xlfn.XLOOKUP(B189,'July 2025'!B:B,'July 2025'!F:F)</f>
        <v>Manufacturing</v>
      </c>
      <c r="G189" s="1">
        <v>13000</v>
      </c>
      <c r="H189" s="1">
        <v>13000</v>
      </c>
      <c r="I189" s="1">
        <v>0</v>
      </c>
      <c r="J189" s="1">
        <v>0</v>
      </c>
      <c r="K189" s="1" t="str">
        <f>_xlfn.XLOOKUP(B189,'July 2025'!B:B,'July 2025'!K:K)</f>
        <v>L-9</v>
      </c>
    </row>
    <row r="190" spans="1:11" x14ac:dyDescent="0.3">
      <c r="A190" s="1">
        <v>189</v>
      </c>
      <c r="B190" s="1">
        <v>10190</v>
      </c>
      <c r="C190" s="1" t="s">
        <v>357</v>
      </c>
      <c r="D190" s="1" t="s">
        <v>565</v>
      </c>
      <c r="E190" s="1" t="s">
        <v>61</v>
      </c>
      <c r="F190" s="1" t="str">
        <f>_xlfn.XLOOKUP(B190,'July 2025'!B:B,'July 2025'!F:F)</f>
        <v>Manufacturing</v>
      </c>
      <c r="G190" s="1">
        <v>12500</v>
      </c>
      <c r="H190" s="1">
        <v>0</v>
      </c>
      <c r="I190" s="1">
        <v>0</v>
      </c>
      <c r="J190" s="1">
        <v>0</v>
      </c>
      <c r="K190" s="1" t="str">
        <f>_xlfn.XLOOKUP(B190,'July 2025'!B:B,'July 2025'!K:K)</f>
        <v>L-9</v>
      </c>
    </row>
    <row r="191" spans="1:11" x14ac:dyDescent="0.3">
      <c r="A191" s="1">
        <v>190</v>
      </c>
      <c r="B191" s="1">
        <v>10191</v>
      </c>
      <c r="C191" s="1" t="s">
        <v>358</v>
      </c>
      <c r="D191" s="1" t="s">
        <v>565</v>
      </c>
      <c r="E191" s="1" t="s">
        <v>53</v>
      </c>
      <c r="F191" s="1" t="str">
        <f>_xlfn.XLOOKUP(B191,'July 2025'!B:B,'July 2025'!F:F)</f>
        <v>Domestic</v>
      </c>
      <c r="G191" s="1">
        <v>11500</v>
      </c>
      <c r="H191" s="1">
        <v>0</v>
      </c>
      <c r="I191" s="1">
        <v>0</v>
      </c>
      <c r="J191" s="1">
        <v>0</v>
      </c>
      <c r="K191" s="1" t="str">
        <f>_xlfn.XLOOKUP(B191,'July 2025'!B:B,'July 2025'!K:K)</f>
        <v>L-10</v>
      </c>
    </row>
    <row r="192" spans="1:11" x14ac:dyDescent="0.3">
      <c r="A192" s="1">
        <v>191</v>
      </c>
      <c r="B192" s="1">
        <v>10192</v>
      </c>
      <c r="C192" s="1" t="s">
        <v>238</v>
      </c>
      <c r="D192" s="1" t="s">
        <v>565</v>
      </c>
      <c r="E192" s="1" t="s">
        <v>35</v>
      </c>
      <c r="F192" s="1" t="str">
        <f>_xlfn.XLOOKUP(B192,'July 2025'!B:B,'July 2025'!F:F)</f>
        <v>Manufacturing</v>
      </c>
      <c r="G192" s="1">
        <v>10500</v>
      </c>
      <c r="H192" s="1">
        <v>9450</v>
      </c>
      <c r="I192" s="1">
        <v>0</v>
      </c>
      <c r="J192" s="1">
        <v>0</v>
      </c>
      <c r="K192" s="1" t="str">
        <f>_xlfn.XLOOKUP(B192,'July 2025'!B:B,'July 2025'!K:K)</f>
        <v>L-9</v>
      </c>
    </row>
    <row r="193" spans="1:11" x14ac:dyDescent="0.3">
      <c r="A193" s="1">
        <v>192</v>
      </c>
      <c r="B193" s="1">
        <v>134</v>
      </c>
      <c r="C193" s="1" t="s">
        <v>336</v>
      </c>
      <c r="D193" s="1" t="s">
        <v>564</v>
      </c>
      <c r="E193" s="1" t="s">
        <v>10</v>
      </c>
      <c r="F193" s="1" t="str">
        <f>_xlfn.XLOOKUP(B193,'July 2025'!B:B,'July 2025'!F:F)</f>
        <v>Domestic</v>
      </c>
      <c r="G193" s="1">
        <v>19500</v>
      </c>
      <c r="H193" s="1">
        <v>18850</v>
      </c>
      <c r="I193" s="1">
        <v>1470</v>
      </c>
      <c r="J193" s="1">
        <v>613</v>
      </c>
      <c r="K193" s="1" t="str">
        <f>_xlfn.XLOOKUP(B193,'July 2025'!B:B,'July 2025'!K:K)</f>
        <v>L-7</v>
      </c>
    </row>
    <row r="194" spans="1:11" x14ac:dyDescent="0.3">
      <c r="A194" s="1">
        <v>193</v>
      </c>
      <c r="B194" s="1">
        <v>10194</v>
      </c>
      <c r="C194" s="1" t="s">
        <v>360</v>
      </c>
      <c r="D194" s="1" t="s">
        <v>565</v>
      </c>
      <c r="E194" s="1" t="s">
        <v>361</v>
      </c>
      <c r="F194" s="1" t="s">
        <v>547</v>
      </c>
      <c r="G194" s="1">
        <v>15500</v>
      </c>
      <c r="H194" s="1">
        <v>14983</v>
      </c>
      <c r="I194" s="1">
        <v>0</v>
      </c>
      <c r="J194" s="1">
        <v>0</v>
      </c>
      <c r="K194" s="1" t="s">
        <v>556</v>
      </c>
    </row>
    <row r="195" spans="1:11" x14ac:dyDescent="0.3">
      <c r="A195" s="1">
        <v>194</v>
      </c>
      <c r="B195" s="1">
        <v>135</v>
      </c>
      <c r="C195" s="1" t="s">
        <v>340</v>
      </c>
      <c r="D195" s="1" t="s">
        <v>564</v>
      </c>
      <c r="E195" s="1" t="s">
        <v>55</v>
      </c>
      <c r="F195" s="1" t="str">
        <f>_xlfn.XLOOKUP(B195,'July 2025'!B:B,'July 2025'!F:F)</f>
        <v>Domestic</v>
      </c>
      <c r="G195" s="1">
        <v>13500</v>
      </c>
      <c r="H195" s="1">
        <v>13500</v>
      </c>
      <c r="I195" s="1">
        <v>1053</v>
      </c>
      <c r="J195" s="1">
        <v>439</v>
      </c>
      <c r="K195" s="1" t="str">
        <f>_xlfn.XLOOKUP(B195,'July 2025'!B:B,'July 2025'!K:K)</f>
        <v>L-7</v>
      </c>
    </row>
    <row r="196" spans="1:11" x14ac:dyDescent="0.3">
      <c r="A196" s="1">
        <v>195</v>
      </c>
      <c r="B196" s="1">
        <v>136</v>
      </c>
      <c r="C196" s="1" t="s">
        <v>359</v>
      </c>
      <c r="D196" s="1" t="s">
        <v>564</v>
      </c>
      <c r="E196" s="1" t="s">
        <v>55</v>
      </c>
      <c r="F196" s="1" t="str">
        <f>_xlfn.XLOOKUP(B196,'July 2025'!B:B,'July 2025'!F:F)</f>
        <v>Domestic</v>
      </c>
      <c r="G196" s="1">
        <v>13000</v>
      </c>
      <c r="H196" s="1">
        <v>12133</v>
      </c>
      <c r="I196" s="1">
        <v>946</v>
      </c>
      <c r="J196" s="1">
        <v>395</v>
      </c>
      <c r="K196" s="1" t="str">
        <f>_xlfn.XLOOKUP(B196,'July 2025'!B:B,'July 2025'!K:K)</f>
        <v>L-7</v>
      </c>
    </row>
    <row r="197" spans="1:11" x14ac:dyDescent="0.3">
      <c r="A197" s="1">
        <v>196</v>
      </c>
      <c r="B197" s="1">
        <v>137</v>
      </c>
      <c r="C197" s="1" t="s">
        <v>140</v>
      </c>
      <c r="D197" s="1" t="s">
        <v>564</v>
      </c>
      <c r="E197" s="1" t="s">
        <v>12</v>
      </c>
      <c r="F197" s="1" t="str">
        <f>_xlfn.XLOOKUP(B197,'July 2025'!B:B,'July 2025'!F:F)</f>
        <v>Manufacturing</v>
      </c>
      <c r="G197" s="1">
        <v>22000</v>
      </c>
      <c r="H197" s="1">
        <v>20533</v>
      </c>
      <c r="I197" s="1">
        <v>1602</v>
      </c>
      <c r="J197" s="1">
        <v>0</v>
      </c>
      <c r="K197" s="1" t="str">
        <f>_xlfn.XLOOKUP(B197,'July 2025'!B:B,'July 2025'!K:K)</f>
        <v>L-9</v>
      </c>
    </row>
    <row r="198" spans="1:11" x14ac:dyDescent="0.3">
      <c r="A198" s="1">
        <v>197</v>
      </c>
      <c r="B198" s="1">
        <v>138</v>
      </c>
      <c r="C198" s="1" t="s">
        <v>332</v>
      </c>
      <c r="D198" s="1" t="s">
        <v>564</v>
      </c>
      <c r="E198" s="1" t="s">
        <v>10</v>
      </c>
      <c r="F198" s="1" t="str">
        <f>_xlfn.XLOOKUP(B198,'July 2025'!B:B,'July 2025'!F:F)</f>
        <v>Overseas</v>
      </c>
      <c r="G198" s="1">
        <v>25000</v>
      </c>
      <c r="H198" s="1">
        <v>24583</v>
      </c>
      <c r="I198" s="1">
        <v>1918</v>
      </c>
      <c r="J198" s="1">
        <v>0</v>
      </c>
      <c r="K198" s="1" t="str">
        <f>_xlfn.XLOOKUP(B198,'July 2025'!B:B,'July 2025'!K:K)</f>
        <v>L-8</v>
      </c>
    </row>
    <row r="199" spans="1:11" x14ac:dyDescent="0.3">
      <c r="A199" s="1">
        <v>198</v>
      </c>
      <c r="B199" s="1">
        <v>139</v>
      </c>
      <c r="C199" s="1" t="s">
        <v>386</v>
      </c>
      <c r="D199" s="1" t="s">
        <v>564</v>
      </c>
      <c r="E199" s="1" t="s">
        <v>12</v>
      </c>
      <c r="F199" s="1" t="str">
        <f>_xlfn.XLOOKUP(B199,'July 2025'!B:B,'July 2025'!F:F)</f>
        <v>Manufacturing</v>
      </c>
      <c r="G199" s="1">
        <v>25000</v>
      </c>
      <c r="H199" s="1">
        <v>24167</v>
      </c>
      <c r="I199" s="1">
        <v>1885</v>
      </c>
      <c r="J199" s="1">
        <v>0</v>
      </c>
      <c r="K199" s="1" t="str">
        <f>_xlfn.XLOOKUP(B199,'July 2025'!B:B,'July 2025'!K:K)</f>
        <v>L-9</v>
      </c>
    </row>
    <row r="200" spans="1:11" x14ac:dyDescent="0.3">
      <c r="A200" s="1">
        <v>199</v>
      </c>
      <c r="B200" s="1">
        <v>10195</v>
      </c>
      <c r="C200" s="1" t="s">
        <v>358</v>
      </c>
      <c r="D200" s="1" t="s">
        <v>565</v>
      </c>
      <c r="E200" s="1" t="s">
        <v>35</v>
      </c>
      <c r="F200" s="1" t="str">
        <f>_xlfn.XLOOKUP(B200,'July 2025'!B:B,'July 2025'!F:F)</f>
        <v>Domestic</v>
      </c>
      <c r="G200" s="1">
        <v>12000</v>
      </c>
      <c r="H200" s="1">
        <v>8800</v>
      </c>
      <c r="I200" s="1">
        <v>0</v>
      </c>
      <c r="J200" s="1">
        <v>0</v>
      </c>
      <c r="K200" s="1" t="str">
        <f>_xlfn.XLOOKUP(B200,'July 2025'!B:B,'July 2025'!K:K)</f>
        <v>L-9</v>
      </c>
    </row>
    <row r="201" spans="1:11" x14ac:dyDescent="0.3">
      <c r="A201" s="1">
        <v>200</v>
      </c>
      <c r="B201" s="1">
        <v>10196</v>
      </c>
      <c r="C201" s="1" t="s">
        <v>368</v>
      </c>
      <c r="D201" s="1" t="s">
        <v>565</v>
      </c>
      <c r="E201" s="1" t="s">
        <v>35</v>
      </c>
      <c r="F201" s="1" t="str">
        <f>_xlfn.XLOOKUP(B201,'July 2025'!B:B,'July 2025'!F:F)</f>
        <v>Manufacturing</v>
      </c>
      <c r="G201" s="1">
        <v>12500</v>
      </c>
      <c r="H201" s="1">
        <v>11458</v>
      </c>
      <c r="I201" s="1">
        <v>0</v>
      </c>
      <c r="J201" s="1">
        <v>0</v>
      </c>
      <c r="K201" s="1" t="str">
        <f>_xlfn.XLOOKUP(B201,'July 2025'!B:B,'July 2025'!K:K)</f>
        <v>L-9</v>
      </c>
    </row>
    <row r="202" spans="1:11" x14ac:dyDescent="0.3">
      <c r="A202" s="1">
        <v>201</v>
      </c>
      <c r="B202" s="1">
        <v>5000</v>
      </c>
      <c r="C202" s="1" t="s">
        <v>363</v>
      </c>
      <c r="D202" s="1" t="s">
        <v>564</v>
      </c>
      <c r="E202" s="1" t="s">
        <v>286</v>
      </c>
      <c r="F202" s="1" t="str">
        <f>_xlfn.XLOOKUP(B202,'July 2025'!B:B,'July 2025'!F:F)</f>
        <v xml:space="preserve">Admin </v>
      </c>
      <c r="G202" s="1">
        <v>5000</v>
      </c>
      <c r="H202" s="1">
        <v>5000</v>
      </c>
      <c r="I202" s="1">
        <v>0</v>
      </c>
      <c r="J202" s="1">
        <v>163</v>
      </c>
      <c r="K202" s="1" t="str">
        <f>_xlfn.XLOOKUP(B202,'July 2025'!B:B,'July 2025'!K:K)</f>
        <v>L-7</v>
      </c>
    </row>
    <row r="203" spans="1:11" x14ac:dyDescent="0.3">
      <c r="A203" s="1">
        <v>202</v>
      </c>
      <c r="B203" s="1">
        <v>5002</v>
      </c>
      <c r="C203" s="1" t="s">
        <v>364</v>
      </c>
      <c r="D203" s="1" t="s">
        <v>564</v>
      </c>
      <c r="E203" s="1" t="s">
        <v>286</v>
      </c>
      <c r="F203" s="1" t="s">
        <v>499</v>
      </c>
      <c r="G203" s="1">
        <v>5000</v>
      </c>
      <c r="H203" s="1">
        <v>4167</v>
      </c>
      <c r="I203" s="1">
        <v>0</v>
      </c>
      <c r="J203" s="1">
        <v>136</v>
      </c>
      <c r="K203" s="1" t="s">
        <v>554</v>
      </c>
    </row>
    <row r="204" spans="1:11" x14ac:dyDescent="0.3">
      <c r="A204" s="1">
        <v>203</v>
      </c>
      <c r="B204" s="1">
        <v>5003</v>
      </c>
      <c r="C204" s="1" t="s">
        <v>365</v>
      </c>
      <c r="D204" s="1" t="s">
        <v>564</v>
      </c>
      <c r="E204" s="1" t="s">
        <v>286</v>
      </c>
      <c r="F204" s="1" t="str">
        <f>_xlfn.XLOOKUP(B204,'July 2025'!B:B,'July 2025'!F:F)</f>
        <v>D2C</v>
      </c>
      <c r="G204" s="1">
        <v>5000</v>
      </c>
      <c r="H204" s="1">
        <v>4667</v>
      </c>
      <c r="I204" s="1">
        <v>0</v>
      </c>
      <c r="J204" s="1">
        <v>152</v>
      </c>
      <c r="K204" s="1" t="str">
        <f>_xlfn.XLOOKUP(B204,'July 2025'!B:B,'July 2025'!K:K)</f>
        <v>L-7</v>
      </c>
    </row>
    <row r="205" spans="1:11" x14ac:dyDescent="0.3">
      <c r="A205" s="1">
        <v>204</v>
      </c>
      <c r="B205" s="1">
        <v>10197</v>
      </c>
      <c r="C205" s="1" t="s">
        <v>375</v>
      </c>
      <c r="D205" s="1" t="s">
        <v>565</v>
      </c>
      <c r="E205" s="1" t="s">
        <v>53</v>
      </c>
      <c r="F205" s="1" t="s">
        <v>501</v>
      </c>
      <c r="G205" s="1">
        <v>11000</v>
      </c>
      <c r="H205" s="1">
        <v>0</v>
      </c>
      <c r="I205" s="1">
        <v>0</v>
      </c>
      <c r="J205" s="1">
        <v>0</v>
      </c>
      <c r="K205" s="1" t="s">
        <v>556</v>
      </c>
    </row>
    <row r="206" spans="1:11" x14ac:dyDescent="0.3">
      <c r="A206" s="1">
        <v>205</v>
      </c>
      <c r="B206" s="1">
        <v>10198</v>
      </c>
      <c r="C206" s="1" t="s">
        <v>179</v>
      </c>
      <c r="D206" s="1" t="s">
        <v>565</v>
      </c>
      <c r="E206" s="1" t="s">
        <v>35</v>
      </c>
      <c r="F206" s="1" t="s">
        <v>501</v>
      </c>
      <c r="G206" s="1">
        <v>13500</v>
      </c>
      <c r="H206" s="1">
        <v>13050</v>
      </c>
      <c r="I206" s="1">
        <v>0</v>
      </c>
      <c r="J206" s="1">
        <v>0</v>
      </c>
      <c r="K206" s="1" t="s">
        <v>556</v>
      </c>
    </row>
    <row r="207" spans="1:11" x14ac:dyDescent="0.3">
      <c r="A207" s="1">
        <v>206</v>
      </c>
      <c r="B207" s="1">
        <v>141</v>
      </c>
      <c r="C207" s="1" t="s">
        <v>94</v>
      </c>
      <c r="D207" s="1" t="s">
        <v>564</v>
      </c>
      <c r="E207" s="1" t="s">
        <v>10</v>
      </c>
      <c r="F207" s="1" t="str">
        <f>_xlfn.XLOOKUP(B207,'July 2025'!B:B,'July 2025'!F:F)</f>
        <v>Domestic</v>
      </c>
      <c r="G207" s="1">
        <v>13500</v>
      </c>
      <c r="H207" s="1">
        <v>12600</v>
      </c>
      <c r="I207" s="1">
        <v>983</v>
      </c>
      <c r="J207" s="1">
        <v>410</v>
      </c>
      <c r="K207" s="1" t="str">
        <f>_xlfn.XLOOKUP(B207,'July 2025'!B:B,'July 2025'!K:K)</f>
        <v>L-8</v>
      </c>
    </row>
    <row r="208" spans="1:11" x14ac:dyDescent="0.3">
      <c r="A208" s="1">
        <v>207</v>
      </c>
      <c r="B208" s="1" t="s">
        <v>366</v>
      </c>
      <c r="C208" s="1" t="s">
        <v>367</v>
      </c>
      <c r="D208" s="1" t="s">
        <v>564</v>
      </c>
      <c r="E208" s="1" t="s">
        <v>286</v>
      </c>
      <c r="F208" s="1" t="str">
        <f>_xlfn.XLOOKUP(B208,'July 2025'!B:B,'July 2025'!F:F)</f>
        <v xml:space="preserve">Admin </v>
      </c>
      <c r="G208" s="1">
        <v>5000</v>
      </c>
      <c r="H208" s="1">
        <v>5000</v>
      </c>
      <c r="I208" s="1">
        <v>0</v>
      </c>
      <c r="J208" s="1">
        <v>163</v>
      </c>
      <c r="K208" s="1" t="str">
        <f>_xlfn.XLOOKUP(B208,'July 2025'!B:B,'July 2025'!K:K)</f>
        <v>L-7</v>
      </c>
    </row>
    <row r="209" spans="1:11" x14ac:dyDescent="0.3">
      <c r="A209" s="1">
        <v>208</v>
      </c>
      <c r="B209" s="1">
        <v>10199</v>
      </c>
      <c r="C209" s="1" t="s">
        <v>376</v>
      </c>
      <c r="D209" s="1" t="s">
        <v>565</v>
      </c>
      <c r="E209" s="1" t="s">
        <v>88</v>
      </c>
      <c r="F209" s="1" t="s">
        <v>547</v>
      </c>
      <c r="G209" s="1">
        <v>8000</v>
      </c>
      <c r="H209" s="1">
        <v>5333</v>
      </c>
      <c r="I209" s="1">
        <v>0</v>
      </c>
      <c r="J209" s="1">
        <v>0</v>
      </c>
      <c r="K209" s="1" t="str">
        <f>_xlfn.XLOOKUP(B209,'July 2025'!B:B,'July 2025'!K:K)</f>
        <v>L-10</v>
      </c>
    </row>
    <row r="210" spans="1:11" x14ac:dyDescent="0.3">
      <c r="A210" s="1">
        <v>209</v>
      </c>
      <c r="B210" s="1">
        <v>10201</v>
      </c>
      <c r="C210" s="1" t="s">
        <v>283</v>
      </c>
      <c r="D210" s="1" t="s">
        <v>565</v>
      </c>
      <c r="E210" s="1" t="s">
        <v>53</v>
      </c>
      <c r="F210" s="1" t="s">
        <v>501</v>
      </c>
      <c r="G210" s="1">
        <v>11500</v>
      </c>
      <c r="H210" s="1">
        <v>7667</v>
      </c>
      <c r="I210" s="1">
        <v>0</v>
      </c>
      <c r="J210" s="1">
        <v>0</v>
      </c>
      <c r="K210" s="1" t="s">
        <v>556</v>
      </c>
    </row>
    <row r="211" spans="1:11" x14ac:dyDescent="0.3">
      <c r="A211" s="1">
        <v>210</v>
      </c>
      <c r="B211" s="1">
        <v>10202</v>
      </c>
      <c r="C211" s="1" t="s">
        <v>387</v>
      </c>
      <c r="D211" s="1" t="s">
        <v>565</v>
      </c>
      <c r="E211" s="1" t="s">
        <v>35</v>
      </c>
      <c r="F211" s="1" t="s">
        <v>501</v>
      </c>
      <c r="G211" s="1">
        <v>11000</v>
      </c>
      <c r="H211" s="1">
        <v>4767</v>
      </c>
      <c r="I211" s="1">
        <v>0</v>
      </c>
      <c r="J211" s="1">
        <v>0</v>
      </c>
      <c r="K211" s="1" t="s">
        <v>556</v>
      </c>
    </row>
    <row r="212" spans="1:11" x14ac:dyDescent="0.3">
      <c r="A212" s="1">
        <v>211</v>
      </c>
      <c r="B212" s="1">
        <v>10203</v>
      </c>
      <c r="C212" s="1" t="s">
        <v>388</v>
      </c>
      <c r="D212" s="1" t="s">
        <v>565</v>
      </c>
      <c r="E212" s="1" t="s">
        <v>35</v>
      </c>
      <c r="F212" s="1" t="s">
        <v>501</v>
      </c>
      <c r="G212" s="1">
        <v>11000</v>
      </c>
      <c r="H212" s="1">
        <v>5133</v>
      </c>
      <c r="I212" s="1">
        <v>0</v>
      </c>
      <c r="J212" s="1">
        <v>0</v>
      </c>
      <c r="K212" s="1" t="s">
        <v>556</v>
      </c>
    </row>
    <row r="213" spans="1:11" x14ac:dyDescent="0.3">
      <c r="A213" s="1">
        <v>212</v>
      </c>
      <c r="B213" s="1">
        <v>10204</v>
      </c>
      <c r="C213" s="1" t="s">
        <v>389</v>
      </c>
      <c r="D213" s="1" t="s">
        <v>565</v>
      </c>
      <c r="E213" s="1" t="s">
        <v>53</v>
      </c>
      <c r="F213" s="1" t="s">
        <v>501</v>
      </c>
      <c r="G213" s="1">
        <v>11500</v>
      </c>
      <c r="H213" s="1">
        <v>8625</v>
      </c>
      <c r="I213" s="1">
        <v>0</v>
      </c>
      <c r="J213" s="1">
        <v>0</v>
      </c>
      <c r="K213" s="1" t="s">
        <v>556</v>
      </c>
    </row>
    <row r="214" spans="1:11" x14ac:dyDescent="0.3">
      <c r="A214" s="1">
        <v>213</v>
      </c>
      <c r="B214" s="1">
        <v>10205</v>
      </c>
      <c r="C214" s="1" t="s">
        <v>390</v>
      </c>
      <c r="D214" s="1" t="s">
        <v>565</v>
      </c>
      <c r="E214" s="1" t="s">
        <v>35</v>
      </c>
      <c r="F214" s="1" t="s">
        <v>501</v>
      </c>
      <c r="G214" s="1">
        <v>11000</v>
      </c>
      <c r="H214" s="1">
        <v>1833</v>
      </c>
      <c r="I214" s="1">
        <v>0</v>
      </c>
      <c r="J214" s="1">
        <v>0</v>
      </c>
      <c r="K214" s="1" t="s">
        <v>556</v>
      </c>
    </row>
    <row r="215" spans="1:11" x14ac:dyDescent="0.3">
      <c r="A215" s="1">
        <v>214</v>
      </c>
      <c r="B215" s="1">
        <v>10206</v>
      </c>
      <c r="C215" s="1" t="s">
        <v>391</v>
      </c>
      <c r="D215" s="1" t="s">
        <v>565</v>
      </c>
      <c r="E215" s="1" t="s">
        <v>35</v>
      </c>
      <c r="F215" s="1" t="s">
        <v>501</v>
      </c>
      <c r="G215" s="1">
        <v>11000</v>
      </c>
      <c r="H215" s="1">
        <v>5133</v>
      </c>
      <c r="I215" s="1">
        <v>0</v>
      </c>
      <c r="J215" s="1">
        <v>0</v>
      </c>
      <c r="K215" s="1" t="s">
        <v>556</v>
      </c>
    </row>
    <row r="216" spans="1:11" x14ac:dyDescent="0.3">
      <c r="A216" s="1">
        <v>215</v>
      </c>
      <c r="B216" s="1">
        <v>10207</v>
      </c>
      <c r="C216" s="1" t="s">
        <v>392</v>
      </c>
      <c r="D216" s="1" t="s">
        <v>565</v>
      </c>
      <c r="E216" s="1" t="s">
        <v>130</v>
      </c>
      <c r="F216" s="1" t="s">
        <v>501</v>
      </c>
      <c r="G216" s="1">
        <v>10500</v>
      </c>
      <c r="H216" s="1">
        <v>7700</v>
      </c>
      <c r="I216" s="1">
        <v>0</v>
      </c>
      <c r="J216" s="1">
        <v>0</v>
      </c>
      <c r="K216" s="1" t="s">
        <v>556</v>
      </c>
    </row>
    <row r="217" spans="1:11" x14ac:dyDescent="0.3">
      <c r="A217" s="1">
        <v>216</v>
      </c>
      <c r="B217" s="1">
        <v>10208</v>
      </c>
      <c r="C217" s="1" t="s">
        <v>393</v>
      </c>
      <c r="D217" s="1" t="s">
        <v>565</v>
      </c>
      <c r="E217" s="1" t="s">
        <v>35</v>
      </c>
      <c r="F217" s="1" t="s">
        <v>501</v>
      </c>
      <c r="G217" s="1">
        <v>11000</v>
      </c>
      <c r="H217" s="1">
        <v>8067</v>
      </c>
      <c r="I217" s="1">
        <v>0</v>
      </c>
      <c r="J217" s="1">
        <v>0</v>
      </c>
      <c r="K217" s="1" t="s">
        <v>556</v>
      </c>
    </row>
    <row r="218" spans="1:11" x14ac:dyDescent="0.3">
      <c r="A218" s="1">
        <v>217</v>
      </c>
      <c r="B218" s="1">
        <v>145</v>
      </c>
      <c r="C218" s="1" t="s">
        <v>394</v>
      </c>
      <c r="D218" s="1" t="s">
        <v>564</v>
      </c>
      <c r="E218" s="1" t="s">
        <v>67</v>
      </c>
      <c r="F218" s="1" t="str">
        <f>_xlfn.XLOOKUP(B218,'July 2025'!B:B,'July 2025'!F:F)</f>
        <v>Manufacturing</v>
      </c>
      <c r="G218" s="1">
        <v>30000</v>
      </c>
      <c r="H218" s="1">
        <v>4500</v>
      </c>
      <c r="I218" s="1">
        <v>0</v>
      </c>
      <c r="J218" s="1">
        <v>0</v>
      </c>
      <c r="K218" s="1" t="str">
        <f>_xlfn.XLOOKUP(B218,'July 2025'!B:B,'July 2025'!K:K)</f>
        <v>L-9</v>
      </c>
    </row>
    <row r="219" spans="1:11" x14ac:dyDescent="0.3">
      <c r="A219" s="1">
        <v>218</v>
      </c>
      <c r="B219" s="1">
        <v>10211</v>
      </c>
      <c r="C219" s="1" t="s">
        <v>395</v>
      </c>
      <c r="D219" s="1" t="s">
        <v>565</v>
      </c>
      <c r="E219" s="1" t="s">
        <v>53</v>
      </c>
      <c r="F219" s="1" t="s">
        <v>501</v>
      </c>
      <c r="G219" s="1">
        <v>11000</v>
      </c>
      <c r="H219" s="1">
        <v>2567</v>
      </c>
      <c r="I219" s="1">
        <v>0</v>
      </c>
      <c r="J219" s="1">
        <v>0</v>
      </c>
      <c r="K219" s="1" t="s">
        <v>556</v>
      </c>
    </row>
    <row r="220" spans="1:11" x14ac:dyDescent="0.3">
      <c r="A220" s="1">
        <v>219</v>
      </c>
      <c r="B220" s="1">
        <v>140</v>
      </c>
      <c r="C220" s="1" t="s">
        <v>396</v>
      </c>
      <c r="D220" s="1" t="s">
        <v>564</v>
      </c>
      <c r="E220" s="1" t="s">
        <v>67</v>
      </c>
      <c r="F220" s="1" t="str">
        <f>_xlfn.XLOOKUP(B220,'July 2025'!B:B,'July 2025'!F:F)</f>
        <v>Manufacturing</v>
      </c>
      <c r="G220" s="1">
        <v>30000</v>
      </c>
      <c r="H220" s="1">
        <v>5000</v>
      </c>
      <c r="I220" s="1">
        <v>0</v>
      </c>
      <c r="J220" s="1">
        <v>0</v>
      </c>
      <c r="K220" s="1" t="str">
        <f>_xlfn.XLOOKUP(B220,'July 2025'!B:B,'July 2025'!K:K)</f>
        <v>L-9</v>
      </c>
    </row>
    <row r="221" spans="1:11" x14ac:dyDescent="0.3">
      <c r="A221" s="1">
        <v>220</v>
      </c>
      <c r="B221" s="1">
        <v>10212</v>
      </c>
      <c r="C221" s="1" t="s">
        <v>397</v>
      </c>
      <c r="D221" s="1" t="s">
        <v>565</v>
      </c>
      <c r="E221" s="1" t="s">
        <v>35</v>
      </c>
      <c r="F221" s="1" t="s">
        <v>501</v>
      </c>
      <c r="G221" s="1">
        <v>11000</v>
      </c>
      <c r="H221" s="1">
        <v>3300</v>
      </c>
      <c r="I221" s="1">
        <v>0</v>
      </c>
      <c r="J221" s="1">
        <v>0</v>
      </c>
      <c r="K221" s="1" t="s">
        <v>556</v>
      </c>
    </row>
    <row r="222" spans="1:11" x14ac:dyDescent="0.3">
      <c r="A222" s="1">
        <v>221</v>
      </c>
      <c r="B222" s="1">
        <v>10213</v>
      </c>
      <c r="C222" s="1" t="s">
        <v>398</v>
      </c>
      <c r="D222" s="1" t="s">
        <v>565</v>
      </c>
      <c r="E222" s="1" t="s">
        <v>53</v>
      </c>
      <c r="F222" s="1" t="str">
        <f>_xlfn.XLOOKUP(B222,'July 2025'!B:B,'July 2025'!F:F)</f>
        <v>Manufacturing</v>
      </c>
      <c r="G222" s="1">
        <v>11500</v>
      </c>
      <c r="H222" s="1">
        <v>6900</v>
      </c>
      <c r="I222" s="1">
        <v>0</v>
      </c>
      <c r="J222" s="1">
        <v>0</v>
      </c>
      <c r="K222" s="1" t="str">
        <f>_xlfn.XLOOKUP(B222,'July 2025'!B:B,'July 2025'!K:K)</f>
        <v>L-10</v>
      </c>
    </row>
    <row r="223" spans="1:11" x14ac:dyDescent="0.3">
      <c r="A223" s="1">
        <v>222</v>
      </c>
      <c r="B223" s="1">
        <v>10214</v>
      </c>
      <c r="C223" s="1" t="s">
        <v>399</v>
      </c>
      <c r="D223" s="1" t="s">
        <v>565</v>
      </c>
      <c r="E223" s="1" t="s">
        <v>35</v>
      </c>
      <c r="F223" s="1" t="str">
        <f>_xlfn.XLOOKUP(B223,'July 2025'!B:B,'July 2025'!F:F)</f>
        <v>Manufacturing</v>
      </c>
      <c r="G223" s="1">
        <v>12000</v>
      </c>
      <c r="H223" s="1">
        <v>2400</v>
      </c>
      <c r="I223" s="1">
        <v>0</v>
      </c>
      <c r="J223" s="1">
        <v>0</v>
      </c>
      <c r="K223" s="1" t="str">
        <f>_xlfn.XLOOKUP(B223,'July 2025'!B:B,'July 2025'!K:K)</f>
        <v>L-9</v>
      </c>
    </row>
    <row r="224" spans="1:11" x14ac:dyDescent="0.3">
      <c r="A224" s="1">
        <v>223</v>
      </c>
      <c r="B224" s="1">
        <v>10215</v>
      </c>
      <c r="C224" s="1" t="s">
        <v>400</v>
      </c>
      <c r="D224" s="1" t="s">
        <v>565</v>
      </c>
      <c r="E224" s="1" t="s">
        <v>53</v>
      </c>
      <c r="F224" s="1" t="str">
        <f>_xlfn.XLOOKUP(B224,'July 2025'!B:B,'July 2025'!F:F)</f>
        <v>Manufacturing</v>
      </c>
      <c r="G224" s="1">
        <v>10000</v>
      </c>
      <c r="H224" s="1">
        <v>7000</v>
      </c>
      <c r="I224" s="1">
        <v>0</v>
      </c>
      <c r="J224" s="1">
        <v>0</v>
      </c>
      <c r="K224" s="1" t="str">
        <f>_xlfn.XLOOKUP(B224,'July 2025'!B:B,'July 2025'!K:K)</f>
        <v>L-10</v>
      </c>
    </row>
    <row r="225" spans="1:11" x14ac:dyDescent="0.3">
      <c r="A225" s="1">
        <v>224</v>
      </c>
      <c r="B225" s="1">
        <v>10216</v>
      </c>
      <c r="C225" s="1" t="s">
        <v>401</v>
      </c>
      <c r="D225" s="1" t="s">
        <v>565</v>
      </c>
      <c r="E225" s="1" t="s">
        <v>53</v>
      </c>
      <c r="F225" s="1" t="s">
        <v>501</v>
      </c>
      <c r="G225" s="1">
        <v>10000</v>
      </c>
      <c r="H225" s="1">
        <v>4333</v>
      </c>
      <c r="I225" s="1">
        <v>0</v>
      </c>
      <c r="J225" s="1">
        <v>0</v>
      </c>
      <c r="K225" s="1" t="s">
        <v>556</v>
      </c>
    </row>
    <row r="226" spans="1:11" x14ac:dyDescent="0.3">
      <c r="A226" s="1">
        <v>225</v>
      </c>
      <c r="B226" s="1">
        <v>10217</v>
      </c>
      <c r="C226" s="1" t="s">
        <v>402</v>
      </c>
      <c r="D226" s="1" t="s">
        <v>565</v>
      </c>
      <c r="E226" s="1" t="s">
        <v>53</v>
      </c>
      <c r="F226" s="1" t="str">
        <f>_xlfn.XLOOKUP(B226,'July 2025'!B:B,'July 2025'!F:F)</f>
        <v>Manufacturing</v>
      </c>
      <c r="G226" s="1">
        <v>12000</v>
      </c>
      <c r="H226" s="1">
        <v>11200</v>
      </c>
      <c r="I226" s="1">
        <v>0</v>
      </c>
      <c r="J226" s="1">
        <v>0</v>
      </c>
      <c r="K226" s="1" t="str">
        <f>_xlfn.XLOOKUP(B226,'July 2025'!B:B,'July 2025'!K:K)</f>
        <v>L-10</v>
      </c>
    </row>
    <row r="227" spans="1:11" x14ac:dyDescent="0.3">
      <c r="A227" s="1">
        <v>226</v>
      </c>
      <c r="B227" s="1">
        <v>10218</v>
      </c>
      <c r="C227" s="1" t="s">
        <v>403</v>
      </c>
      <c r="D227" s="1" t="s">
        <v>565</v>
      </c>
      <c r="E227" s="1" t="s">
        <v>53</v>
      </c>
      <c r="F227" s="1" t="str">
        <f>_xlfn.XLOOKUP(B227,'July 2025'!B:B,'July 2025'!F:F)</f>
        <v>Manufacturing</v>
      </c>
      <c r="G227" s="1">
        <v>12500</v>
      </c>
      <c r="H227" s="1">
        <v>10417</v>
      </c>
      <c r="I227" s="1">
        <v>0</v>
      </c>
      <c r="J227" s="1">
        <v>0</v>
      </c>
      <c r="K227" s="1" t="str">
        <f>_xlfn.XLOOKUP(B227,'July 2025'!B:B,'July 2025'!K:K)</f>
        <v>L-10</v>
      </c>
    </row>
    <row r="228" spans="1:11" x14ac:dyDescent="0.3">
      <c r="A228" s="1">
        <v>227</v>
      </c>
      <c r="B228" s="1">
        <v>10219</v>
      </c>
      <c r="C228" s="1" t="s">
        <v>404</v>
      </c>
      <c r="D228" s="1" t="s">
        <v>565</v>
      </c>
      <c r="E228" s="1" t="s">
        <v>405</v>
      </c>
      <c r="F228" s="1" t="s">
        <v>501</v>
      </c>
      <c r="G228" s="1">
        <v>8000</v>
      </c>
      <c r="H228" s="1">
        <v>5600</v>
      </c>
      <c r="I228" s="1">
        <v>0</v>
      </c>
      <c r="J228" s="1">
        <v>0</v>
      </c>
      <c r="K228" s="1" t="s">
        <v>556</v>
      </c>
    </row>
    <row r="229" spans="1:11" x14ac:dyDescent="0.3">
      <c r="A229" s="1">
        <v>228</v>
      </c>
      <c r="B229" s="1">
        <v>10220</v>
      </c>
      <c r="C229" s="1" t="s">
        <v>406</v>
      </c>
      <c r="D229" s="1" t="s">
        <v>565</v>
      </c>
      <c r="E229" s="1" t="s">
        <v>405</v>
      </c>
      <c r="F229" s="1" t="str">
        <f>_xlfn.XLOOKUP(B229,'July 2025'!B:B,'July 2025'!F:F)</f>
        <v>Manufacturing</v>
      </c>
      <c r="G229" s="1">
        <v>11500</v>
      </c>
      <c r="H229" s="1">
        <v>6517</v>
      </c>
      <c r="I229" s="1">
        <v>0</v>
      </c>
      <c r="J229" s="1">
        <v>0</v>
      </c>
      <c r="K229" s="1" t="str">
        <f>_xlfn.XLOOKUP(B229,'July 2025'!B:B,'July 2025'!K:K)</f>
        <v>L-9</v>
      </c>
    </row>
    <row r="230" spans="1:11" x14ac:dyDescent="0.3">
      <c r="A230" s="1">
        <v>229</v>
      </c>
      <c r="B230" s="1">
        <v>10221</v>
      </c>
      <c r="C230" s="1" t="s">
        <v>407</v>
      </c>
      <c r="D230" s="1" t="s">
        <v>565</v>
      </c>
      <c r="E230" s="1" t="s">
        <v>53</v>
      </c>
      <c r="F230" s="1" t="str">
        <f>_xlfn.XLOOKUP(B230,'July 2025'!B:B,'July 2025'!F:F)</f>
        <v>Manufacturing</v>
      </c>
      <c r="G230" s="1">
        <v>11000</v>
      </c>
      <c r="H230" s="1">
        <v>6967</v>
      </c>
      <c r="I230" s="1">
        <v>0</v>
      </c>
      <c r="J230" s="1">
        <v>0</v>
      </c>
      <c r="K230" s="1" t="str">
        <f>_xlfn.XLOOKUP(B230,'July 2025'!B:B,'July 2025'!K:K)</f>
        <v>L-10</v>
      </c>
    </row>
    <row r="231" spans="1:11" x14ac:dyDescent="0.3">
      <c r="A231" s="1">
        <v>230</v>
      </c>
      <c r="B231" s="1">
        <v>10222</v>
      </c>
      <c r="C231" s="1" t="s">
        <v>408</v>
      </c>
      <c r="D231" s="1" t="s">
        <v>565</v>
      </c>
      <c r="E231" s="1" t="s">
        <v>53</v>
      </c>
      <c r="F231" s="1" t="str">
        <f>_xlfn.XLOOKUP(B231,'July 2025'!B:B,'July 2025'!F:F)</f>
        <v>Manufacturing</v>
      </c>
      <c r="G231" s="1">
        <v>11500</v>
      </c>
      <c r="H231" s="1">
        <v>4983</v>
      </c>
      <c r="I231" s="1">
        <v>0</v>
      </c>
      <c r="J231" s="1">
        <v>0</v>
      </c>
      <c r="K231" s="1" t="str">
        <f>_xlfn.XLOOKUP(B231,'July 2025'!B:B,'July 2025'!K:K)</f>
        <v>L-10</v>
      </c>
    </row>
    <row r="232" spans="1:11" x14ac:dyDescent="0.3">
      <c r="A232" s="1">
        <v>231</v>
      </c>
      <c r="B232" s="1">
        <v>10223</v>
      </c>
      <c r="C232" s="1" t="s">
        <v>409</v>
      </c>
      <c r="D232" s="1" t="s">
        <v>565</v>
      </c>
      <c r="E232" s="1" t="s">
        <v>61</v>
      </c>
      <c r="F232" s="1" t="str">
        <f>_xlfn.XLOOKUP(B232,'July 2025'!B:B,'July 2025'!F:F)</f>
        <v>Manufacturing</v>
      </c>
      <c r="G232" s="1">
        <v>12500</v>
      </c>
      <c r="H232" s="1">
        <v>6250</v>
      </c>
      <c r="I232" s="1">
        <v>0</v>
      </c>
      <c r="J232" s="1">
        <v>0</v>
      </c>
      <c r="K232" s="1" t="str">
        <f>_xlfn.XLOOKUP(B232,'July 2025'!B:B,'July 2025'!K:K)</f>
        <v>L-9</v>
      </c>
    </row>
    <row r="233" spans="1:11" x14ac:dyDescent="0.3">
      <c r="A233" s="1">
        <v>232</v>
      </c>
      <c r="B233" s="1">
        <v>10224</v>
      </c>
      <c r="C233" s="1" t="s">
        <v>410</v>
      </c>
      <c r="D233" s="1" t="s">
        <v>565</v>
      </c>
      <c r="E233" s="1" t="s">
        <v>35</v>
      </c>
      <c r="F233" s="1" t="str">
        <f>_xlfn.XLOOKUP(B233,'July 2025'!B:B,'July 2025'!F:F)</f>
        <v>Manufacturing</v>
      </c>
      <c r="G233" s="1">
        <v>11500</v>
      </c>
      <c r="H233" s="1">
        <v>10350</v>
      </c>
      <c r="I233" s="1">
        <v>0</v>
      </c>
      <c r="J233" s="1">
        <v>0</v>
      </c>
      <c r="K233" s="1" t="str">
        <f>_xlfn.XLOOKUP(B233,'July 2025'!B:B,'July 2025'!K:K)</f>
        <v>L-9</v>
      </c>
    </row>
    <row r="234" spans="1:11" x14ac:dyDescent="0.3">
      <c r="A234" s="1">
        <v>233</v>
      </c>
      <c r="B234" s="1">
        <v>10225</v>
      </c>
      <c r="C234" s="1" t="s">
        <v>411</v>
      </c>
      <c r="D234" s="1" t="s">
        <v>565</v>
      </c>
      <c r="E234" s="1" t="s">
        <v>35</v>
      </c>
      <c r="F234" s="1" t="str">
        <f>_xlfn.XLOOKUP(B234,'July 2025'!B:B,'July 2025'!F:F)</f>
        <v>Manufacturing</v>
      </c>
      <c r="G234" s="1">
        <v>10500</v>
      </c>
      <c r="H234" s="1">
        <v>5250</v>
      </c>
      <c r="I234" s="1">
        <v>0</v>
      </c>
      <c r="J234" s="1">
        <v>0</v>
      </c>
      <c r="K234" s="1" t="str">
        <f>_xlfn.XLOOKUP(B234,'July 2025'!B:B,'July 2025'!K:K)</f>
        <v>L-9</v>
      </c>
    </row>
    <row r="235" spans="1:11" x14ac:dyDescent="0.3">
      <c r="A235" s="1">
        <v>234</v>
      </c>
      <c r="B235" s="1">
        <v>10226</v>
      </c>
      <c r="C235" s="1" t="s">
        <v>412</v>
      </c>
      <c r="D235" s="1" t="s">
        <v>565</v>
      </c>
      <c r="E235" s="1" t="s">
        <v>61</v>
      </c>
      <c r="F235" s="1" t="s">
        <v>501</v>
      </c>
      <c r="G235" s="1">
        <v>11000</v>
      </c>
      <c r="H235" s="1">
        <v>9900</v>
      </c>
      <c r="I235" s="1">
        <v>0</v>
      </c>
      <c r="J235" s="1">
        <v>0</v>
      </c>
      <c r="K235" s="1" t="s">
        <v>556</v>
      </c>
    </row>
    <row r="236" spans="1:11" x14ac:dyDescent="0.3">
      <c r="A236" s="1">
        <v>235</v>
      </c>
      <c r="B236" s="1">
        <v>10227</v>
      </c>
      <c r="C236" s="1" t="s">
        <v>413</v>
      </c>
      <c r="D236" s="1" t="s">
        <v>565</v>
      </c>
      <c r="E236" s="1" t="s">
        <v>53</v>
      </c>
      <c r="F236" s="1" t="str">
        <f>_xlfn.XLOOKUP(B236,'July 2025'!B:B,'July 2025'!F:F)</f>
        <v>Manufacturing</v>
      </c>
      <c r="G236" s="1">
        <v>11000</v>
      </c>
      <c r="H236" s="1">
        <v>2933</v>
      </c>
      <c r="I236" s="1">
        <v>0</v>
      </c>
      <c r="J236" s="1">
        <v>0</v>
      </c>
      <c r="K236" s="1" t="str">
        <f>_xlfn.XLOOKUP(B236,'July 2025'!B:B,'July 2025'!K:K)</f>
        <v>L-10</v>
      </c>
    </row>
    <row r="237" spans="1:11" x14ac:dyDescent="0.3">
      <c r="A237" s="1">
        <v>236</v>
      </c>
      <c r="B237" s="1">
        <v>10228</v>
      </c>
      <c r="C237" s="1" t="s">
        <v>414</v>
      </c>
      <c r="D237" s="1" t="s">
        <v>565</v>
      </c>
      <c r="E237" s="1" t="s">
        <v>35</v>
      </c>
      <c r="F237" s="1" t="str">
        <f>_xlfn.XLOOKUP(B237,'July 2025'!B:B,'July 2025'!F:F)</f>
        <v>Manufacturing</v>
      </c>
      <c r="G237" s="1">
        <v>12500</v>
      </c>
      <c r="H237" s="1">
        <v>3750</v>
      </c>
      <c r="I237" s="1">
        <v>0</v>
      </c>
      <c r="J237" s="1">
        <v>0</v>
      </c>
      <c r="K237" s="1" t="str">
        <f>_xlfn.XLOOKUP(B237,'July 2025'!B:B,'July 2025'!K:K)</f>
        <v>L-9</v>
      </c>
    </row>
    <row r="238" spans="1:11" x14ac:dyDescent="0.3">
      <c r="A238" s="1">
        <v>237</v>
      </c>
      <c r="B238" s="1">
        <v>10229</v>
      </c>
      <c r="C238" s="1" t="s">
        <v>415</v>
      </c>
      <c r="D238" s="1" t="s">
        <v>565</v>
      </c>
      <c r="E238" s="1" t="s">
        <v>130</v>
      </c>
      <c r="F238" s="1" t="str">
        <f>_xlfn.XLOOKUP(B238,'July 2025'!B:B,'July 2025'!F:F)</f>
        <v>Manufacturing</v>
      </c>
      <c r="G238" s="1">
        <v>10000</v>
      </c>
      <c r="H238" s="1">
        <v>5000</v>
      </c>
      <c r="I238" s="1">
        <v>0</v>
      </c>
      <c r="J238" s="1">
        <v>0</v>
      </c>
      <c r="K238" s="1" t="str">
        <f>_xlfn.XLOOKUP(B238,'July 2025'!B:B,'July 2025'!K:K)</f>
        <v>L-9</v>
      </c>
    </row>
    <row r="239" spans="1:11" x14ac:dyDescent="0.3">
      <c r="A239" s="1">
        <v>238</v>
      </c>
      <c r="B239" s="1">
        <v>10230</v>
      </c>
      <c r="C239" s="1" t="s">
        <v>416</v>
      </c>
      <c r="D239" s="1" t="s">
        <v>565</v>
      </c>
      <c r="E239" s="1" t="s">
        <v>405</v>
      </c>
      <c r="F239" s="1" t="str">
        <f>_xlfn.XLOOKUP(B239,'July 2025'!B:B,'July 2025'!F:F)</f>
        <v>Manufacturing</v>
      </c>
      <c r="G239" s="1">
        <v>12500</v>
      </c>
      <c r="H239" s="1">
        <v>6250</v>
      </c>
      <c r="I239" s="1">
        <v>0</v>
      </c>
      <c r="J239" s="1">
        <v>0</v>
      </c>
      <c r="K239" s="1" t="str">
        <f>_xlfn.XLOOKUP(B239,'July 2025'!B:B,'July 2025'!K:K)</f>
        <v>L-9</v>
      </c>
    </row>
    <row r="240" spans="1:11" x14ac:dyDescent="0.3">
      <c r="A240" s="1">
        <v>239</v>
      </c>
      <c r="B240" s="1">
        <v>10231</v>
      </c>
      <c r="C240" s="1" t="s">
        <v>417</v>
      </c>
      <c r="D240" s="1" t="s">
        <v>565</v>
      </c>
      <c r="E240" s="1" t="s">
        <v>35</v>
      </c>
      <c r="F240" s="1" t="str">
        <f>_xlfn.XLOOKUP(B240,'July 2025'!B:B,'July 2025'!F:F)</f>
        <v>Manufacturing</v>
      </c>
      <c r="G240" s="1">
        <v>13200</v>
      </c>
      <c r="H240" s="1">
        <v>2640</v>
      </c>
      <c r="I240" s="1">
        <v>0</v>
      </c>
      <c r="J240" s="1">
        <v>0</v>
      </c>
      <c r="K240" s="1" t="str">
        <f>_xlfn.XLOOKUP(B240,'July 2025'!B:B,'July 2025'!K:K)</f>
        <v>L-9</v>
      </c>
    </row>
    <row r="241" spans="1:11" x14ac:dyDescent="0.3">
      <c r="A241" s="1">
        <v>240</v>
      </c>
      <c r="B241" s="1">
        <v>10232</v>
      </c>
      <c r="C241" s="1" t="s">
        <v>418</v>
      </c>
      <c r="D241" s="1" t="s">
        <v>565</v>
      </c>
      <c r="E241" s="1" t="s">
        <v>35</v>
      </c>
      <c r="F241" s="1" t="str">
        <f>_xlfn.XLOOKUP(B241,'July 2025'!B:B,'July 2025'!F:F)</f>
        <v>Manufacturing</v>
      </c>
      <c r="G241" s="1">
        <v>13500</v>
      </c>
      <c r="H241" s="1">
        <v>3150</v>
      </c>
      <c r="I241" s="1">
        <v>0</v>
      </c>
      <c r="J241" s="1">
        <v>0</v>
      </c>
      <c r="K241" s="1" t="str">
        <f>_xlfn.XLOOKUP(B241,'July 2025'!B:B,'July 2025'!K:K)</f>
        <v>L-9</v>
      </c>
    </row>
    <row r="242" spans="1:11" x14ac:dyDescent="0.3">
      <c r="A242" s="1">
        <v>241</v>
      </c>
      <c r="B242" s="1">
        <v>10233</v>
      </c>
      <c r="C242" s="1" t="s">
        <v>419</v>
      </c>
      <c r="D242" s="1" t="s">
        <v>565</v>
      </c>
      <c r="E242" s="1" t="s">
        <v>35</v>
      </c>
      <c r="F242" s="1" t="s">
        <v>501</v>
      </c>
      <c r="G242" s="1">
        <v>11500</v>
      </c>
      <c r="H242" s="1">
        <v>1150</v>
      </c>
      <c r="I242" s="1">
        <v>0</v>
      </c>
      <c r="J242" s="1">
        <v>0</v>
      </c>
      <c r="K242" s="1" t="s">
        <v>556</v>
      </c>
    </row>
    <row r="243" spans="1:11" x14ac:dyDescent="0.3">
      <c r="A243" s="1">
        <v>242</v>
      </c>
      <c r="B243" s="1">
        <v>10234</v>
      </c>
      <c r="C243" s="1" t="s">
        <v>420</v>
      </c>
      <c r="D243" s="1" t="s">
        <v>565</v>
      </c>
      <c r="E243" s="1" t="s">
        <v>35</v>
      </c>
      <c r="F243" s="1" t="str">
        <f>_xlfn.XLOOKUP(B243,'July 2025'!B:B,'July 2025'!F:F)</f>
        <v>Manufacturing</v>
      </c>
      <c r="G243" s="1">
        <v>12500</v>
      </c>
      <c r="H243" s="1">
        <v>2917</v>
      </c>
      <c r="I243" s="1">
        <v>0</v>
      </c>
      <c r="J243" s="1">
        <v>0</v>
      </c>
      <c r="K243" s="1" t="str">
        <f>_xlfn.XLOOKUP(B243,'July 2025'!B:B,'July 2025'!K:K)</f>
        <v>L-9</v>
      </c>
    </row>
    <row r="244" spans="1:11" x14ac:dyDescent="0.3">
      <c r="A244" s="1">
        <v>243</v>
      </c>
      <c r="B244" s="1">
        <v>10235</v>
      </c>
      <c r="C244" s="1" t="s">
        <v>421</v>
      </c>
      <c r="D244" s="1" t="s">
        <v>565</v>
      </c>
      <c r="E244" s="1" t="s">
        <v>35</v>
      </c>
      <c r="F244" s="1" t="str">
        <f>_xlfn.XLOOKUP(B244,'July 2025'!B:B,'July 2025'!F:F)</f>
        <v>Manufacturing</v>
      </c>
      <c r="G244" s="1">
        <v>12500</v>
      </c>
      <c r="H244" s="1">
        <v>7083</v>
      </c>
      <c r="I244" s="1">
        <v>0</v>
      </c>
      <c r="J244" s="1">
        <v>0</v>
      </c>
      <c r="K244" s="1" t="str">
        <f>_xlfn.XLOOKUP(B244,'July 2025'!B:B,'July 2025'!K:K)</f>
        <v>L-9</v>
      </c>
    </row>
    <row r="245" spans="1:11" x14ac:dyDescent="0.3">
      <c r="A245" s="1">
        <v>244</v>
      </c>
      <c r="B245" s="1">
        <v>142</v>
      </c>
      <c r="C245" s="1" t="s">
        <v>422</v>
      </c>
      <c r="D245" s="1" t="s">
        <v>564</v>
      </c>
      <c r="E245" s="1" t="s">
        <v>423</v>
      </c>
      <c r="F245" s="1" t="s">
        <v>504</v>
      </c>
      <c r="G245" s="1">
        <v>50000</v>
      </c>
      <c r="H245" s="1">
        <v>13333</v>
      </c>
      <c r="I245" s="1">
        <v>1040</v>
      </c>
      <c r="J245" s="1">
        <v>0</v>
      </c>
      <c r="K245" s="1" t="s">
        <v>552</v>
      </c>
    </row>
    <row r="246" spans="1:11" x14ac:dyDescent="0.3">
      <c r="A246" s="1">
        <v>245</v>
      </c>
      <c r="B246" s="1">
        <v>143</v>
      </c>
      <c r="C246" s="1" t="s">
        <v>424</v>
      </c>
      <c r="D246" s="1" t="s">
        <v>564</v>
      </c>
      <c r="E246" s="1" t="s">
        <v>10</v>
      </c>
      <c r="F246" s="1" t="s">
        <v>504</v>
      </c>
      <c r="G246" s="1">
        <v>26800</v>
      </c>
      <c r="H246" s="1">
        <v>5360</v>
      </c>
      <c r="I246" s="1">
        <v>418</v>
      </c>
      <c r="J246" s="1">
        <v>0</v>
      </c>
      <c r="K246" s="1" t="s">
        <v>553</v>
      </c>
    </row>
    <row r="247" spans="1:11" x14ac:dyDescent="0.3">
      <c r="A247" s="1">
        <v>246</v>
      </c>
      <c r="B247" s="1">
        <v>10236</v>
      </c>
      <c r="C247" s="1" t="s">
        <v>425</v>
      </c>
      <c r="D247" s="1" t="s">
        <v>565</v>
      </c>
      <c r="E247" s="1" t="s">
        <v>35</v>
      </c>
      <c r="F247" s="1" t="s">
        <v>501</v>
      </c>
      <c r="G247" s="1">
        <v>11000</v>
      </c>
      <c r="H247" s="1">
        <v>9167</v>
      </c>
      <c r="I247" s="1">
        <v>0</v>
      </c>
      <c r="J247" s="1">
        <v>0</v>
      </c>
      <c r="K247" s="1" t="s">
        <v>556</v>
      </c>
    </row>
    <row r="248" spans="1:11" x14ac:dyDescent="0.3">
      <c r="A248" s="1">
        <v>247</v>
      </c>
      <c r="B248" s="1">
        <v>10237</v>
      </c>
      <c r="C248" s="1" t="s">
        <v>426</v>
      </c>
      <c r="D248" s="1" t="s">
        <v>565</v>
      </c>
      <c r="E248" s="1" t="s">
        <v>35</v>
      </c>
      <c r="F248" s="1" t="str">
        <f>_xlfn.XLOOKUP(B248,'July 2025'!B:B,'July 2025'!F:F)</f>
        <v>Manufacturing</v>
      </c>
      <c r="G248" s="1">
        <v>11000</v>
      </c>
      <c r="H248" s="1">
        <v>9167</v>
      </c>
      <c r="I248" s="1">
        <v>0</v>
      </c>
      <c r="J248" s="1">
        <v>0</v>
      </c>
      <c r="K248" s="1" t="str">
        <f>_xlfn.XLOOKUP(B248,'July 2025'!B:B,'July 2025'!K:K)</f>
        <v>L-9</v>
      </c>
    </row>
    <row r="249" spans="1:11" x14ac:dyDescent="0.3">
      <c r="A249" s="1">
        <v>248</v>
      </c>
      <c r="B249" s="1">
        <v>144</v>
      </c>
      <c r="C249" s="1" t="s">
        <v>427</v>
      </c>
      <c r="D249" s="1" t="s">
        <v>564</v>
      </c>
      <c r="E249" s="1" t="s">
        <v>58</v>
      </c>
      <c r="F249" s="1" t="s">
        <v>496</v>
      </c>
      <c r="G249" s="1">
        <v>38095</v>
      </c>
      <c r="H249" s="1">
        <v>10158</v>
      </c>
      <c r="I249" s="1">
        <v>792</v>
      </c>
      <c r="J249" s="1">
        <v>0</v>
      </c>
      <c r="K249" s="1" t="s">
        <v>553</v>
      </c>
    </row>
    <row r="250" spans="1:11" x14ac:dyDescent="0.3">
      <c r="A250" s="1">
        <v>249</v>
      </c>
      <c r="B250" s="1">
        <v>10238</v>
      </c>
      <c r="C250" s="1" t="s">
        <v>428</v>
      </c>
      <c r="D250" s="1" t="s">
        <v>565</v>
      </c>
      <c r="E250" s="1" t="s">
        <v>61</v>
      </c>
      <c r="F250" s="1" t="str">
        <f>_xlfn.XLOOKUP(B250,'July 2025'!B:B,'July 2025'!F:F)</f>
        <v>Manufacturing</v>
      </c>
      <c r="G250" s="1">
        <v>12000</v>
      </c>
      <c r="H250" s="1">
        <v>2400</v>
      </c>
      <c r="I250" s="1">
        <v>0</v>
      </c>
      <c r="J250" s="1">
        <v>0</v>
      </c>
      <c r="K250" s="1" t="str">
        <f>_xlfn.XLOOKUP(B250,'July 2025'!B:B,'July 2025'!K:K)</f>
        <v>L-9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EE80B0-FDF4-4BA8-BA45-59000E780736}">
          <x14:formula1>
            <xm:f>'Data Validation'!$K$1:$K$11</xm:f>
          </x14:formula1>
          <xm:sqref>K1:K1048576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335D7-DB2A-4A18-A7A3-FF2571848A73}">
  <sheetPr filterMode="1"/>
  <dimension ref="A1:K274"/>
  <sheetViews>
    <sheetView zoomScale="80" zoomScaleNormal="80" workbookViewId="0">
      <selection activeCell="E289" sqref="E289"/>
    </sheetView>
  </sheetViews>
  <sheetFormatPr defaultRowHeight="14.4" x14ac:dyDescent="0.3"/>
  <cols>
    <col min="1" max="3" width="23.6640625" customWidth="1"/>
    <col min="5" max="5" width="23.6640625" customWidth="1"/>
    <col min="6" max="6" width="20.77734375" customWidth="1"/>
    <col min="7" max="8" width="23.6640625" customWidth="1"/>
    <col min="9" max="9" width="10.88671875" bestFit="1" customWidth="1"/>
    <col min="10" max="10" width="11.33203125" bestFit="1" customWidth="1"/>
    <col min="11" max="11" width="13.10937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10" t="s">
        <v>569</v>
      </c>
      <c r="E1" s="2" t="s">
        <v>4</v>
      </c>
      <c r="F1" s="2" t="s">
        <v>3</v>
      </c>
      <c r="G1" s="2" t="s">
        <v>5</v>
      </c>
      <c r="H1" s="2" t="s">
        <v>6</v>
      </c>
      <c r="I1" s="2" t="s">
        <v>562</v>
      </c>
      <c r="J1" s="2" t="s">
        <v>563</v>
      </c>
      <c r="K1" s="2" t="s">
        <v>559</v>
      </c>
    </row>
    <row r="2" spans="1:11" hidden="1" x14ac:dyDescent="0.3">
      <c r="A2" s="1">
        <v>1</v>
      </c>
      <c r="B2" s="1">
        <v>1</v>
      </c>
      <c r="C2" s="1" t="s">
        <v>7</v>
      </c>
      <c r="D2" s="1" t="s">
        <v>564</v>
      </c>
      <c r="E2" s="5" t="s">
        <v>8</v>
      </c>
      <c r="F2" s="1" t="s">
        <v>501</v>
      </c>
      <c r="G2" s="1">
        <v>11000</v>
      </c>
      <c r="H2" s="1">
        <v>6387</v>
      </c>
      <c r="I2" s="1">
        <v>498</v>
      </c>
      <c r="J2" s="1">
        <v>208</v>
      </c>
      <c r="K2" s="1" t="s">
        <v>556</v>
      </c>
    </row>
    <row r="3" spans="1:11" hidden="1" x14ac:dyDescent="0.3">
      <c r="A3" s="1">
        <v>2</v>
      </c>
      <c r="B3" s="1">
        <v>2</v>
      </c>
      <c r="C3" s="1" t="s">
        <v>9</v>
      </c>
      <c r="D3" s="1" t="s">
        <v>564</v>
      </c>
      <c r="E3" s="5" t="s">
        <v>10</v>
      </c>
      <c r="F3" s="1" t="s">
        <v>504</v>
      </c>
      <c r="G3" s="1">
        <v>20500</v>
      </c>
      <c r="H3" s="1">
        <v>18847</v>
      </c>
      <c r="I3" s="1">
        <v>1470</v>
      </c>
      <c r="J3" s="1">
        <v>613</v>
      </c>
      <c r="K3" s="1" t="s">
        <v>555</v>
      </c>
    </row>
    <row r="4" spans="1:11" hidden="1" x14ac:dyDescent="0.3">
      <c r="A4" s="1">
        <v>3</v>
      </c>
      <c r="B4" s="1">
        <v>3</v>
      </c>
      <c r="C4" s="1" t="s">
        <v>11</v>
      </c>
      <c r="D4" s="1" t="s">
        <v>564</v>
      </c>
      <c r="E4" s="5" t="s">
        <v>12</v>
      </c>
      <c r="F4" s="1" t="s">
        <v>501</v>
      </c>
      <c r="G4" s="1">
        <v>27500</v>
      </c>
      <c r="H4" s="1">
        <v>25726</v>
      </c>
      <c r="I4" s="1">
        <v>0</v>
      </c>
      <c r="J4" s="1">
        <v>0</v>
      </c>
      <c r="K4" s="1" t="s">
        <v>556</v>
      </c>
    </row>
    <row r="5" spans="1:11" hidden="1" x14ac:dyDescent="0.3">
      <c r="A5" s="1">
        <v>4</v>
      </c>
      <c r="B5" s="1">
        <v>4</v>
      </c>
      <c r="C5" s="1" t="s">
        <v>13</v>
      </c>
      <c r="D5" s="1" t="s">
        <v>564</v>
      </c>
      <c r="E5" s="5" t="s">
        <v>10</v>
      </c>
      <c r="F5" s="1" t="s">
        <v>504</v>
      </c>
      <c r="G5" s="1">
        <v>25781</v>
      </c>
      <c r="H5" s="1">
        <v>25781</v>
      </c>
      <c r="I5" s="1">
        <v>1950</v>
      </c>
      <c r="J5" s="1">
        <v>0</v>
      </c>
      <c r="K5" s="1" t="s">
        <v>553</v>
      </c>
    </row>
    <row r="6" spans="1:11" hidden="1" x14ac:dyDescent="0.3">
      <c r="A6" s="1">
        <v>5</v>
      </c>
      <c r="B6" s="1">
        <v>6</v>
      </c>
      <c r="C6" s="1" t="s">
        <v>16</v>
      </c>
      <c r="D6" s="1" t="s">
        <v>564</v>
      </c>
      <c r="E6" s="5" t="s">
        <v>17</v>
      </c>
      <c r="F6" s="1" t="s">
        <v>499</v>
      </c>
      <c r="G6" s="1">
        <v>62500</v>
      </c>
      <c r="H6" s="1">
        <v>60484</v>
      </c>
      <c r="I6" s="1">
        <v>0</v>
      </c>
      <c r="J6" s="1">
        <v>0</v>
      </c>
      <c r="K6" s="1" t="s">
        <v>552</v>
      </c>
    </row>
    <row r="7" spans="1:11" hidden="1" x14ac:dyDescent="0.3">
      <c r="A7" s="1">
        <v>6</v>
      </c>
      <c r="B7" s="1">
        <v>7</v>
      </c>
      <c r="C7" s="1" t="s">
        <v>18</v>
      </c>
      <c r="D7" s="1" t="s">
        <v>564</v>
      </c>
      <c r="E7" s="5" t="s">
        <v>19</v>
      </c>
      <c r="F7" s="1" t="s">
        <v>499</v>
      </c>
      <c r="G7" s="1">
        <v>48000</v>
      </c>
      <c r="H7" s="1">
        <v>48000</v>
      </c>
      <c r="I7" s="1">
        <v>0</v>
      </c>
      <c r="J7" s="1">
        <v>0</v>
      </c>
      <c r="K7" s="1" t="s">
        <v>552</v>
      </c>
    </row>
    <row r="8" spans="1:11" hidden="1" x14ac:dyDescent="0.3">
      <c r="A8" s="1">
        <v>7</v>
      </c>
      <c r="B8" s="1">
        <v>10002</v>
      </c>
      <c r="C8" s="1" t="s">
        <v>80</v>
      </c>
      <c r="D8" s="1" t="s">
        <v>565</v>
      </c>
      <c r="E8" s="5" t="s">
        <v>53</v>
      </c>
      <c r="F8" s="1" t="s">
        <v>504</v>
      </c>
      <c r="G8" s="1">
        <v>15400</v>
      </c>
      <c r="H8" s="1">
        <v>13413</v>
      </c>
      <c r="I8" s="1">
        <v>0</v>
      </c>
      <c r="J8" s="1">
        <v>0</v>
      </c>
      <c r="K8" s="1" t="s">
        <v>557</v>
      </c>
    </row>
    <row r="9" spans="1:11" hidden="1" x14ac:dyDescent="0.3">
      <c r="A9" s="1">
        <v>8</v>
      </c>
      <c r="B9" s="1">
        <v>10004</v>
      </c>
      <c r="C9" s="1" t="s">
        <v>83</v>
      </c>
      <c r="D9" s="1" t="s">
        <v>565</v>
      </c>
      <c r="E9" s="5" t="s">
        <v>21</v>
      </c>
      <c r="F9" s="1" t="s">
        <v>501</v>
      </c>
      <c r="G9" s="1">
        <v>17000</v>
      </c>
      <c r="H9" s="1">
        <v>17000</v>
      </c>
      <c r="I9" s="1">
        <v>0</v>
      </c>
      <c r="J9" s="1">
        <v>0</v>
      </c>
      <c r="K9" s="1" t="s">
        <v>556</v>
      </c>
    </row>
    <row r="10" spans="1:11" hidden="1" x14ac:dyDescent="0.3">
      <c r="A10" s="1">
        <v>9</v>
      </c>
      <c r="B10" s="1">
        <v>122</v>
      </c>
      <c r="C10" s="1" t="s">
        <v>84</v>
      </c>
      <c r="D10" s="1" t="s">
        <v>564</v>
      </c>
      <c r="E10" s="5" t="s">
        <v>55</v>
      </c>
      <c r="F10" s="1" t="s">
        <v>504</v>
      </c>
      <c r="G10" s="1">
        <v>17500</v>
      </c>
      <c r="H10" s="1">
        <v>14113</v>
      </c>
      <c r="I10" s="1">
        <v>1101</v>
      </c>
      <c r="J10" s="1">
        <v>459</v>
      </c>
      <c r="K10" s="1" t="s">
        <v>554</v>
      </c>
    </row>
    <row r="11" spans="1:11" hidden="1" x14ac:dyDescent="0.3">
      <c r="A11" s="1">
        <v>10</v>
      </c>
      <c r="B11" s="1">
        <v>9</v>
      </c>
      <c r="C11" s="1" t="s">
        <v>22</v>
      </c>
      <c r="D11" s="1" t="s">
        <v>564</v>
      </c>
      <c r="E11" s="5" t="s">
        <v>23</v>
      </c>
      <c r="F11" s="1" t="s">
        <v>504</v>
      </c>
      <c r="G11" s="1">
        <v>16300</v>
      </c>
      <c r="H11" s="1">
        <v>16300</v>
      </c>
      <c r="I11" s="1">
        <v>1271</v>
      </c>
      <c r="J11" s="1">
        <v>530</v>
      </c>
      <c r="K11" s="1" t="s">
        <v>556</v>
      </c>
    </row>
    <row r="12" spans="1:11" hidden="1" x14ac:dyDescent="0.3">
      <c r="A12" s="1">
        <v>11</v>
      </c>
      <c r="B12" s="1">
        <v>123</v>
      </c>
      <c r="C12" s="1" t="s">
        <v>85</v>
      </c>
      <c r="D12" s="1" t="s">
        <v>564</v>
      </c>
      <c r="E12" s="5" t="s">
        <v>12</v>
      </c>
      <c r="F12" s="1" t="s">
        <v>501</v>
      </c>
      <c r="G12" s="1">
        <v>16000</v>
      </c>
      <c r="H12" s="1">
        <v>15484</v>
      </c>
      <c r="I12" s="1">
        <v>1208</v>
      </c>
      <c r="J12" s="1">
        <v>504</v>
      </c>
      <c r="K12" s="1" t="s">
        <v>556</v>
      </c>
    </row>
    <row r="13" spans="1:11" hidden="1" x14ac:dyDescent="0.3">
      <c r="A13" s="1">
        <v>12</v>
      </c>
      <c r="B13" s="1">
        <v>124</v>
      </c>
      <c r="C13" s="1" t="s">
        <v>86</v>
      </c>
      <c r="D13" s="1" t="s">
        <v>564</v>
      </c>
      <c r="E13" s="5" t="s">
        <v>10</v>
      </c>
      <c r="F13" s="1" t="s">
        <v>501</v>
      </c>
      <c r="G13" s="1">
        <v>15000</v>
      </c>
      <c r="H13" s="1">
        <v>12823</v>
      </c>
      <c r="I13" s="1">
        <v>1000</v>
      </c>
      <c r="J13" s="1">
        <v>417</v>
      </c>
      <c r="K13" s="1" t="s">
        <v>554</v>
      </c>
    </row>
    <row r="14" spans="1:11" hidden="1" x14ac:dyDescent="0.3">
      <c r="A14" s="1">
        <v>13</v>
      </c>
      <c r="B14" s="1">
        <v>11</v>
      </c>
      <c r="C14" s="1" t="s">
        <v>25</v>
      </c>
      <c r="D14" s="1" t="s">
        <v>564</v>
      </c>
      <c r="E14" s="5" t="s">
        <v>429</v>
      </c>
      <c r="F14" s="1" t="s">
        <v>499</v>
      </c>
      <c r="G14" s="1">
        <v>28000</v>
      </c>
      <c r="H14" s="1">
        <v>34000</v>
      </c>
      <c r="I14" s="1">
        <v>1950</v>
      </c>
      <c r="J14" s="1">
        <v>0</v>
      </c>
      <c r="K14" s="1" t="s">
        <v>553</v>
      </c>
    </row>
    <row r="15" spans="1:11" hidden="1" x14ac:dyDescent="0.3">
      <c r="A15" s="1">
        <v>14</v>
      </c>
      <c r="B15" s="1">
        <v>10008</v>
      </c>
      <c r="C15" s="1" t="s">
        <v>87</v>
      </c>
      <c r="D15" s="1" t="s">
        <v>565</v>
      </c>
      <c r="E15" s="5" t="s">
        <v>88</v>
      </c>
      <c r="F15" s="1" t="s">
        <v>547</v>
      </c>
      <c r="G15" s="1">
        <v>11000</v>
      </c>
      <c r="H15" s="1">
        <v>11000</v>
      </c>
      <c r="I15" s="1">
        <v>0</v>
      </c>
      <c r="J15" s="1">
        <v>0</v>
      </c>
      <c r="K15" s="1" t="s">
        <v>557</v>
      </c>
    </row>
    <row r="16" spans="1:11" hidden="1" x14ac:dyDescent="0.3">
      <c r="A16" s="1">
        <v>15</v>
      </c>
      <c r="B16" s="1">
        <v>10068</v>
      </c>
      <c r="C16" s="1" t="s">
        <v>150</v>
      </c>
      <c r="D16" s="1" t="s">
        <v>565</v>
      </c>
      <c r="E16" s="5" t="s">
        <v>53</v>
      </c>
      <c r="F16" s="1" t="s">
        <v>504</v>
      </c>
      <c r="G16" s="1">
        <v>13500</v>
      </c>
      <c r="H16" s="1">
        <v>11758</v>
      </c>
      <c r="I16" s="1">
        <v>0</v>
      </c>
      <c r="J16" s="1">
        <v>0</v>
      </c>
      <c r="K16" s="1" t="s">
        <v>557</v>
      </c>
    </row>
    <row r="17" spans="1:11" hidden="1" x14ac:dyDescent="0.3">
      <c r="A17" s="1">
        <v>16</v>
      </c>
      <c r="B17" s="1">
        <v>13</v>
      </c>
      <c r="C17" s="1" t="s">
        <v>29</v>
      </c>
      <c r="D17" s="1" t="s">
        <v>564</v>
      </c>
      <c r="E17" s="5" t="s">
        <v>10</v>
      </c>
      <c r="F17" s="1" t="s">
        <v>504</v>
      </c>
      <c r="G17" s="1">
        <v>16000</v>
      </c>
      <c r="H17" s="1">
        <v>14452</v>
      </c>
      <c r="I17" s="1">
        <v>1127</v>
      </c>
      <c r="J17" s="1">
        <v>470</v>
      </c>
      <c r="K17" s="1" t="s">
        <v>554</v>
      </c>
    </row>
    <row r="18" spans="1:11" hidden="1" x14ac:dyDescent="0.3">
      <c r="A18" s="1">
        <v>17</v>
      </c>
      <c r="B18" s="1">
        <v>14</v>
      </c>
      <c r="C18" s="1" t="s">
        <v>30</v>
      </c>
      <c r="D18" s="1" t="s">
        <v>564</v>
      </c>
      <c r="E18" s="5" t="s">
        <v>31</v>
      </c>
      <c r="F18" s="1" t="s">
        <v>547</v>
      </c>
      <c r="G18" s="1">
        <v>15400</v>
      </c>
      <c r="H18" s="1">
        <v>15400</v>
      </c>
      <c r="I18" s="1">
        <v>1201</v>
      </c>
      <c r="J18" s="1">
        <v>501</v>
      </c>
      <c r="K18" s="1" t="s">
        <v>557</v>
      </c>
    </row>
    <row r="19" spans="1:11" hidden="1" x14ac:dyDescent="0.3">
      <c r="A19" s="1">
        <v>18</v>
      </c>
      <c r="B19" s="1">
        <v>15</v>
      </c>
      <c r="C19" s="1" t="s">
        <v>32</v>
      </c>
      <c r="D19" s="1" t="s">
        <v>564</v>
      </c>
      <c r="E19" s="5" t="s">
        <v>33</v>
      </c>
      <c r="F19" s="1" t="s">
        <v>501</v>
      </c>
      <c r="G19" s="1">
        <v>20000</v>
      </c>
      <c r="H19" s="1">
        <v>18065</v>
      </c>
      <c r="I19" s="1">
        <v>1409</v>
      </c>
      <c r="J19" s="1">
        <v>588</v>
      </c>
      <c r="K19" s="1" t="s">
        <v>556</v>
      </c>
    </row>
    <row r="20" spans="1:11" hidden="1" x14ac:dyDescent="0.3">
      <c r="A20" s="1">
        <v>19</v>
      </c>
      <c r="B20" s="1">
        <v>16</v>
      </c>
      <c r="C20" s="1" t="s">
        <v>34</v>
      </c>
      <c r="D20" s="1" t="s">
        <v>564</v>
      </c>
      <c r="E20" s="5" t="s">
        <v>35</v>
      </c>
      <c r="F20" s="1" t="s">
        <v>504</v>
      </c>
      <c r="G20" s="1">
        <v>15000</v>
      </c>
      <c r="H20" s="1">
        <v>13307</v>
      </c>
      <c r="I20" s="1">
        <v>1211</v>
      </c>
      <c r="J20" s="1">
        <v>433</v>
      </c>
      <c r="K20" s="1" t="s">
        <v>556</v>
      </c>
    </row>
    <row r="21" spans="1:11" hidden="1" x14ac:dyDescent="0.3">
      <c r="A21" s="1">
        <v>20</v>
      </c>
      <c r="B21" s="1">
        <v>17</v>
      </c>
      <c r="C21" s="1" t="s">
        <v>36</v>
      </c>
      <c r="D21" s="1" t="s">
        <v>564</v>
      </c>
      <c r="E21" s="5" t="s">
        <v>21</v>
      </c>
      <c r="F21" s="1" t="s">
        <v>501</v>
      </c>
      <c r="G21" s="1">
        <v>17500</v>
      </c>
      <c r="H21" s="1">
        <v>16935</v>
      </c>
      <c r="I21" s="1">
        <v>1321</v>
      </c>
      <c r="J21" s="1">
        <v>551</v>
      </c>
      <c r="K21" s="1" t="s">
        <v>556</v>
      </c>
    </row>
    <row r="22" spans="1:11" hidden="1" x14ac:dyDescent="0.3">
      <c r="A22" s="1">
        <v>21</v>
      </c>
      <c r="B22" s="1">
        <v>20</v>
      </c>
      <c r="C22" s="1" t="s">
        <v>39</v>
      </c>
      <c r="D22" s="1" t="s">
        <v>564</v>
      </c>
      <c r="E22" s="5" t="s">
        <v>35</v>
      </c>
      <c r="F22" s="1" t="s">
        <v>501</v>
      </c>
      <c r="G22" s="1">
        <v>14500</v>
      </c>
      <c r="H22" s="1">
        <v>12863</v>
      </c>
      <c r="I22" s="1">
        <v>1171</v>
      </c>
      <c r="J22" s="1">
        <v>419</v>
      </c>
      <c r="K22" s="1" t="s">
        <v>556</v>
      </c>
    </row>
    <row r="23" spans="1:11" hidden="1" x14ac:dyDescent="0.3">
      <c r="A23" s="1">
        <v>22</v>
      </c>
      <c r="B23" s="1">
        <v>21</v>
      </c>
      <c r="C23" s="1" t="s">
        <v>40</v>
      </c>
      <c r="D23" s="1" t="s">
        <v>564</v>
      </c>
      <c r="E23" s="5" t="s">
        <v>41</v>
      </c>
      <c r="F23" s="1" t="s">
        <v>501</v>
      </c>
      <c r="G23" s="1">
        <v>22000</v>
      </c>
      <c r="H23" s="1">
        <v>22000</v>
      </c>
      <c r="I23" s="1">
        <v>1716</v>
      </c>
      <c r="J23" s="1">
        <v>0</v>
      </c>
      <c r="K23" s="1" t="s">
        <v>555</v>
      </c>
    </row>
    <row r="24" spans="1:11" hidden="1" x14ac:dyDescent="0.3">
      <c r="A24" s="1">
        <v>23</v>
      </c>
      <c r="B24" s="1">
        <v>141</v>
      </c>
      <c r="C24" s="1" t="s">
        <v>94</v>
      </c>
      <c r="D24" s="1" t="s">
        <v>564</v>
      </c>
      <c r="E24" s="5" t="s">
        <v>10</v>
      </c>
      <c r="F24" s="1" t="s">
        <v>504</v>
      </c>
      <c r="G24" s="1">
        <v>13500</v>
      </c>
      <c r="H24" s="1">
        <v>11758</v>
      </c>
      <c r="I24" s="1">
        <v>917</v>
      </c>
      <c r="J24" s="1">
        <v>383</v>
      </c>
      <c r="K24" s="1" t="s">
        <v>555</v>
      </c>
    </row>
    <row r="25" spans="1:11" hidden="1" x14ac:dyDescent="0.3">
      <c r="A25" s="1">
        <v>24</v>
      </c>
      <c r="B25" s="1">
        <v>10014</v>
      </c>
      <c r="C25" s="1" t="s">
        <v>95</v>
      </c>
      <c r="D25" s="1" t="s">
        <v>565</v>
      </c>
      <c r="E25" s="5" t="s">
        <v>53</v>
      </c>
      <c r="F25" s="1" t="s">
        <v>501</v>
      </c>
      <c r="G25" s="1">
        <v>12000</v>
      </c>
      <c r="H25" s="1">
        <v>6580</v>
      </c>
      <c r="I25" s="1">
        <v>0</v>
      </c>
      <c r="J25" s="1">
        <v>0</v>
      </c>
      <c r="K25" s="1" t="s">
        <v>557</v>
      </c>
    </row>
    <row r="26" spans="1:11" hidden="1" x14ac:dyDescent="0.3">
      <c r="A26" s="1">
        <v>25</v>
      </c>
      <c r="B26" s="1">
        <v>10015</v>
      </c>
      <c r="C26" s="1" t="s">
        <v>96</v>
      </c>
      <c r="D26" s="1" t="s">
        <v>565</v>
      </c>
      <c r="E26" s="5" t="s">
        <v>35</v>
      </c>
      <c r="F26" s="1" t="s">
        <v>501</v>
      </c>
      <c r="G26" s="1">
        <v>14000</v>
      </c>
      <c r="H26" s="1">
        <v>14000</v>
      </c>
      <c r="I26" s="1">
        <v>0</v>
      </c>
      <c r="J26" s="1">
        <v>0</v>
      </c>
      <c r="K26" s="1" t="s">
        <v>556</v>
      </c>
    </row>
    <row r="27" spans="1:11" hidden="1" x14ac:dyDescent="0.3">
      <c r="A27" s="1">
        <v>26</v>
      </c>
      <c r="B27" s="1">
        <v>22</v>
      </c>
      <c r="C27" s="1" t="s">
        <v>282</v>
      </c>
      <c r="D27" s="1" t="s">
        <v>564</v>
      </c>
      <c r="E27" s="5" t="s">
        <v>42</v>
      </c>
      <c r="F27" s="1" t="s">
        <v>504</v>
      </c>
      <c r="G27" s="1">
        <v>68200</v>
      </c>
      <c r="H27" s="1">
        <v>68200</v>
      </c>
      <c r="I27" s="1">
        <v>1950</v>
      </c>
      <c r="J27" s="1">
        <v>0</v>
      </c>
      <c r="K27" s="1" t="s">
        <v>552</v>
      </c>
    </row>
    <row r="28" spans="1:11" hidden="1" x14ac:dyDescent="0.3">
      <c r="A28" s="1">
        <v>27</v>
      </c>
      <c r="B28" s="1">
        <v>10017</v>
      </c>
      <c r="C28" s="1" t="s">
        <v>98</v>
      </c>
      <c r="D28" s="1" t="s">
        <v>565</v>
      </c>
      <c r="E28" s="5" t="s">
        <v>53</v>
      </c>
      <c r="F28" s="1" t="s">
        <v>501</v>
      </c>
      <c r="G28" s="1">
        <v>13000</v>
      </c>
      <c r="H28" s="1">
        <v>10065</v>
      </c>
      <c r="I28" s="1">
        <v>0</v>
      </c>
      <c r="J28" s="1">
        <v>0</v>
      </c>
      <c r="K28" s="1" t="s">
        <v>557</v>
      </c>
    </row>
    <row r="29" spans="1:11" hidden="1" x14ac:dyDescent="0.3">
      <c r="A29" s="1">
        <v>28</v>
      </c>
      <c r="B29" s="1">
        <v>24</v>
      </c>
      <c r="C29" s="1" t="s">
        <v>44</v>
      </c>
      <c r="D29" s="1" t="s">
        <v>564</v>
      </c>
      <c r="E29" s="5" t="s">
        <v>10</v>
      </c>
      <c r="F29" s="1" t="s">
        <v>504</v>
      </c>
      <c r="G29" s="1">
        <v>15500</v>
      </c>
      <c r="H29" s="1">
        <v>2000</v>
      </c>
      <c r="I29" s="1">
        <v>185</v>
      </c>
      <c r="J29" s="1">
        <v>65</v>
      </c>
      <c r="K29" s="1" t="s">
        <v>555</v>
      </c>
    </row>
    <row r="30" spans="1:11" hidden="1" x14ac:dyDescent="0.3">
      <c r="A30" s="1">
        <v>29</v>
      </c>
      <c r="B30" s="1">
        <v>10018</v>
      </c>
      <c r="C30" s="1" t="s">
        <v>99</v>
      </c>
      <c r="D30" s="1" t="s">
        <v>565</v>
      </c>
      <c r="E30" s="5" t="s">
        <v>35</v>
      </c>
      <c r="F30" s="1" t="s">
        <v>501</v>
      </c>
      <c r="G30" s="1">
        <v>15700</v>
      </c>
      <c r="H30" s="1">
        <v>14940</v>
      </c>
      <c r="I30" s="1">
        <v>0</v>
      </c>
      <c r="J30" s="1">
        <v>0</v>
      </c>
      <c r="K30" s="1" t="s">
        <v>556</v>
      </c>
    </row>
    <row r="31" spans="1:11" hidden="1" x14ac:dyDescent="0.3">
      <c r="A31" s="1">
        <v>30</v>
      </c>
      <c r="B31" s="1">
        <v>27</v>
      </c>
      <c r="C31" s="1" t="s">
        <v>48</v>
      </c>
      <c r="D31" s="1" t="s">
        <v>564</v>
      </c>
      <c r="E31" s="5" t="s">
        <v>10</v>
      </c>
      <c r="F31" s="1" t="s">
        <v>504</v>
      </c>
      <c r="G31" s="1">
        <v>25988</v>
      </c>
      <c r="H31" s="1">
        <v>25988</v>
      </c>
      <c r="I31" s="1">
        <v>1950</v>
      </c>
      <c r="J31" s="1">
        <v>0</v>
      </c>
      <c r="K31" s="1" t="s">
        <v>553</v>
      </c>
    </row>
    <row r="32" spans="1:11" hidden="1" x14ac:dyDescent="0.3">
      <c r="A32" s="1">
        <v>31</v>
      </c>
      <c r="B32" s="1">
        <v>29</v>
      </c>
      <c r="C32" s="1" t="s">
        <v>51</v>
      </c>
      <c r="D32" s="1" t="s">
        <v>564</v>
      </c>
      <c r="E32" s="5" t="s">
        <v>42</v>
      </c>
      <c r="F32" s="1" t="s">
        <v>496</v>
      </c>
      <c r="G32" s="1">
        <v>79450</v>
      </c>
      <c r="H32" s="1">
        <v>79450</v>
      </c>
      <c r="I32" s="1">
        <v>1950</v>
      </c>
      <c r="J32" s="1">
        <v>0</v>
      </c>
      <c r="K32" s="1" t="s">
        <v>552</v>
      </c>
    </row>
    <row r="33" spans="1:11" hidden="1" x14ac:dyDescent="0.3">
      <c r="A33" s="1">
        <v>32</v>
      </c>
      <c r="B33" s="1">
        <v>10020</v>
      </c>
      <c r="C33" s="1" t="s">
        <v>101</v>
      </c>
      <c r="D33" s="1" t="s">
        <v>565</v>
      </c>
      <c r="E33" s="5" t="s">
        <v>35</v>
      </c>
      <c r="F33" s="1" t="s">
        <v>501</v>
      </c>
      <c r="G33" s="1">
        <v>14500</v>
      </c>
      <c r="H33" s="1">
        <v>14500</v>
      </c>
      <c r="I33" s="1">
        <v>0</v>
      </c>
      <c r="J33" s="1">
        <v>0</v>
      </c>
      <c r="K33" s="1" t="s">
        <v>556</v>
      </c>
    </row>
    <row r="34" spans="1:11" hidden="1" x14ac:dyDescent="0.3">
      <c r="A34" s="1">
        <v>33</v>
      </c>
      <c r="B34" s="1">
        <v>32</v>
      </c>
      <c r="C34" s="1" t="s">
        <v>56</v>
      </c>
      <c r="D34" s="1" t="s">
        <v>564</v>
      </c>
      <c r="E34" s="5" t="s">
        <v>41</v>
      </c>
      <c r="F34" s="1" t="s">
        <v>501</v>
      </c>
      <c r="G34" s="1">
        <v>25000</v>
      </c>
      <c r="H34" s="1">
        <v>21774</v>
      </c>
      <c r="I34" s="1">
        <v>0</v>
      </c>
      <c r="J34" s="1">
        <v>0</v>
      </c>
      <c r="K34" s="1" t="s">
        <v>555</v>
      </c>
    </row>
    <row r="35" spans="1:11" hidden="1" x14ac:dyDescent="0.3">
      <c r="A35" s="1">
        <v>34</v>
      </c>
      <c r="B35" s="1">
        <v>10021</v>
      </c>
      <c r="C35" s="1" t="s">
        <v>102</v>
      </c>
      <c r="D35" s="1" t="s">
        <v>565</v>
      </c>
      <c r="E35" s="5" t="s">
        <v>35</v>
      </c>
      <c r="F35" s="1" t="s">
        <v>501</v>
      </c>
      <c r="G35" s="1">
        <v>14200</v>
      </c>
      <c r="H35" s="1">
        <v>11910</v>
      </c>
      <c r="I35" s="1">
        <v>0</v>
      </c>
      <c r="J35" s="1">
        <v>0</v>
      </c>
      <c r="K35" s="1" t="s">
        <v>556</v>
      </c>
    </row>
    <row r="36" spans="1:11" hidden="1" x14ac:dyDescent="0.3">
      <c r="A36" s="1">
        <v>35</v>
      </c>
      <c r="B36" s="1">
        <v>33</v>
      </c>
      <c r="C36" s="1" t="s">
        <v>57</v>
      </c>
      <c r="D36" s="1" t="s">
        <v>564</v>
      </c>
      <c r="E36" s="5" t="s">
        <v>58</v>
      </c>
      <c r="F36" s="1" t="s">
        <v>496</v>
      </c>
      <c r="G36" s="1">
        <v>37000</v>
      </c>
      <c r="H36" s="1">
        <v>37000</v>
      </c>
      <c r="I36" s="1">
        <v>0</v>
      </c>
      <c r="J36" s="1">
        <v>0</v>
      </c>
      <c r="K36" s="1" t="s">
        <v>553</v>
      </c>
    </row>
    <row r="37" spans="1:11" hidden="1" x14ac:dyDescent="0.3">
      <c r="A37" s="1">
        <v>36</v>
      </c>
      <c r="B37" s="1">
        <v>192</v>
      </c>
      <c r="C37" s="1" t="s">
        <v>105</v>
      </c>
      <c r="D37" s="1" t="s">
        <v>564</v>
      </c>
      <c r="E37" s="5" t="s">
        <v>53</v>
      </c>
      <c r="F37" s="1" t="s">
        <v>506</v>
      </c>
      <c r="G37" s="1">
        <v>11000</v>
      </c>
      <c r="H37" s="1">
        <v>7807</v>
      </c>
      <c r="I37" s="1">
        <v>609</v>
      </c>
      <c r="J37" s="1">
        <v>254</v>
      </c>
      <c r="K37" s="1" t="s">
        <v>557</v>
      </c>
    </row>
    <row r="38" spans="1:11" hidden="1" x14ac:dyDescent="0.3">
      <c r="A38" s="1">
        <v>37</v>
      </c>
      <c r="B38" s="1">
        <v>10027</v>
      </c>
      <c r="C38" s="1" t="s">
        <v>108</v>
      </c>
      <c r="D38" s="1" t="s">
        <v>565</v>
      </c>
      <c r="E38" s="5" t="s">
        <v>55</v>
      </c>
      <c r="F38" s="1" t="s">
        <v>504</v>
      </c>
      <c r="G38" s="1">
        <v>6500</v>
      </c>
      <c r="H38" s="1">
        <v>6934</v>
      </c>
      <c r="I38" s="1">
        <v>0</v>
      </c>
      <c r="J38" s="1">
        <v>0</v>
      </c>
      <c r="K38" s="1" t="s">
        <v>554</v>
      </c>
    </row>
    <row r="39" spans="1:11" hidden="1" x14ac:dyDescent="0.3">
      <c r="A39" s="1">
        <v>38</v>
      </c>
      <c r="B39" s="1">
        <v>10032</v>
      </c>
      <c r="C39" s="1" t="s">
        <v>113</v>
      </c>
      <c r="D39" s="1" t="s">
        <v>565</v>
      </c>
      <c r="E39" s="5" t="s">
        <v>53</v>
      </c>
      <c r="F39" s="1" t="s">
        <v>501</v>
      </c>
      <c r="G39" s="1">
        <v>14500</v>
      </c>
      <c r="H39" s="1">
        <v>14032</v>
      </c>
      <c r="I39" s="1">
        <v>0</v>
      </c>
      <c r="J39" s="1">
        <v>0</v>
      </c>
      <c r="K39" s="1" t="s">
        <v>557</v>
      </c>
    </row>
    <row r="40" spans="1:11" hidden="1" x14ac:dyDescent="0.3">
      <c r="A40" s="1">
        <v>39</v>
      </c>
      <c r="B40" s="1">
        <v>155</v>
      </c>
      <c r="C40" s="1" t="s">
        <v>117</v>
      </c>
      <c r="D40" s="1" t="s">
        <v>564</v>
      </c>
      <c r="E40" s="5" t="s">
        <v>35</v>
      </c>
      <c r="F40" s="1" t="s">
        <v>501</v>
      </c>
      <c r="G40" s="1">
        <v>14500</v>
      </c>
      <c r="H40" s="1">
        <v>12629</v>
      </c>
      <c r="I40" s="1">
        <v>985</v>
      </c>
      <c r="J40" s="1">
        <v>411</v>
      </c>
      <c r="K40" s="1" t="s">
        <v>556</v>
      </c>
    </row>
    <row r="41" spans="1:11" hidden="1" x14ac:dyDescent="0.3">
      <c r="A41" s="1">
        <v>40</v>
      </c>
      <c r="B41" s="1">
        <v>152</v>
      </c>
      <c r="C41" s="1" t="s">
        <v>118</v>
      </c>
      <c r="D41" s="1" t="s">
        <v>568</v>
      </c>
      <c r="E41" s="5" t="s">
        <v>35</v>
      </c>
      <c r="F41" s="1" t="s">
        <v>501</v>
      </c>
      <c r="G41" s="1">
        <v>15000</v>
      </c>
      <c r="H41" s="1">
        <v>14758</v>
      </c>
      <c r="I41" s="1">
        <v>1151</v>
      </c>
      <c r="J41" s="1">
        <v>480</v>
      </c>
      <c r="K41" s="1" t="s">
        <v>556</v>
      </c>
    </row>
    <row r="42" spans="1:11" hidden="1" x14ac:dyDescent="0.3">
      <c r="A42" s="1">
        <v>41</v>
      </c>
      <c r="B42" s="1">
        <v>10041</v>
      </c>
      <c r="C42" s="1" t="s">
        <v>122</v>
      </c>
      <c r="D42" s="1" t="s">
        <v>565</v>
      </c>
      <c r="E42" s="5" t="s">
        <v>35</v>
      </c>
      <c r="F42" s="1" t="s">
        <v>501</v>
      </c>
      <c r="G42" s="1">
        <v>14000</v>
      </c>
      <c r="H42" s="1">
        <v>9258</v>
      </c>
      <c r="I42" s="1">
        <v>0</v>
      </c>
      <c r="J42" s="1">
        <v>0</v>
      </c>
      <c r="K42" s="1" t="s">
        <v>556</v>
      </c>
    </row>
    <row r="43" spans="1:11" hidden="1" x14ac:dyDescent="0.3">
      <c r="A43" s="1">
        <v>42</v>
      </c>
      <c r="B43" s="1">
        <v>10043</v>
      </c>
      <c r="C43" s="1" t="s">
        <v>124</v>
      </c>
      <c r="D43" s="1" t="s">
        <v>565</v>
      </c>
      <c r="E43" s="5" t="s">
        <v>35</v>
      </c>
      <c r="F43" s="1" t="s">
        <v>504</v>
      </c>
      <c r="G43" s="1">
        <v>13500</v>
      </c>
      <c r="H43" s="1">
        <v>13500</v>
      </c>
      <c r="I43" s="1">
        <v>0</v>
      </c>
      <c r="J43" s="1">
        <v>0</v>
      </c>
      <c r="K43" s="1" t="s">
        <v>556</v>
      </c>
    </row>
    <row r="44" spans="1:11" hidden="1" x14ac:dyDescent="0.3">
      <c r="A44" s="1">
        <v>43</v>
      </c>
      <c r="B44" s="1">
        <v>125</v>
      </c>
      <c r="C44" s="1" t="s">
        <v>127</v>
      </c>
      <c r="D44" s="1" t="s">
        <v>564</v>
      </c>
      <c r="E44" s="5" t="s">
        <v>55</v>
      </c>
      <c r="F44" s="1" t="s">
        <v>504</v>
      </c>
      <c r="G44" s="1">
        <v>18000</v>
      </c>
      <c r="H44" s="1">
        <v>17420</v>
      </c>
      <c r="I44" s="1">
        <v>1359</v>
      </c>
      <c r="J44" s="1">
        <v>567</v>
      </c>
      <c r="K44" s="1" t="s">
        <v>554</v>
      </c>
    </row>
    <row r="45" spans="1:11" hidden="1" x14ac:dyDescent="0.3">
      <c r="A45" s="1">
        <v>44</v>
      </c>
      <c r="B45" s="1">
        <v>167</v>
      </c>
      <c r="C45" s="1" t="s">
        <v>129</v>
      </c>
      <c r="D45" s="1" t="s">
        <v>564</v>
      </c>
      <c r="E45" s="5" t="s">
        <v>130</v>
      </c>
      <c r="F45" s="1" t="s">
        <v>501</v>
      </c>
      <c r="G45" s="1">
        <v>11000</v>
      </c>
      <c r="H45" s="1">
        <v>10823</v>
      </c>
      <c r="I45" s="1">
        <v>844</v>
      </c>
      <c r="J45" s="1">
        <v>352</v>
      </c>
      <c r="K45" s="1" t="s">
        <v>556</v>
      </c>
    </row>
    <row r="46" spans="1:11" hidden="1" x14ac:dyDescent="0.3">
      <c r="A46" s="1">
        <v>45</v>
      </c>
      <c r="B46" s="1">
        <v>10049</v>
      </c>
      <c r="C46" s="1" t="s">
        <v>131</v>
      </c>
      <c r="D46" s="1" t="s">
        <v>565</v>
      </c>
      <c r="E46" s="5" t="s">
        <v>53</v>
      </c>
      <c r="F46" s="1" t="s">
        <v>504</v>
      </c>
      <c r="G46" s="1">
        <v>13000</v>
      </c>
      <c r="H46" s="1">
        <v>12161</v>
      </c>
      <c r="I46" s="1">
        <v>0</v>
      </c>
      <c r="J46" s="1">
        <v>0</v>
      </c>
      <c r="K46" s="1" t="s">
        <v>557</v>
      </c>
    </row>
    <row r="47" spans="1:11" hidden="1" x14ac:dyDescent="0.3">
      <c r="A47" s="1">
        <v>46</v>
      </c>
      <c r="B47" s="1">
        <v>37</v>
      </c>
      <c r="C47" s="1" t="s">
        <v>63</v>
      </c>
      <c r="D47" s="1" t="s">
        <v>564</v>
      </c>
      <c r="E47" s="5" t="s">
        <v>64</v>
      </c>
      <c r="F47" s="1" t="s">
        <v>506</v>
      </c>
      <c r="G47" s="1">
        <v>44000</v>
      </c>
      <c r="H47" s="1">
        <v>48000</v>
      </c>
      <c r="I47" s="1">
        <v>0</v>
      </c>
      <c r="J47" s="1">
        <v>0</v>
      </c>
      <c r="K47" s="1" t="s">
        <v>553</v>
      </c>
    </row>
    <row r="48" spans="1:11" hidden="1" x14ac:dyDescent="0.3">
      <c r="A48" s="1">
        <v>47</v>
      </c>
      <c r="B48" s="1">
        <v>38</v>
      </c>
      <c r="C48" s="1" t="s">
        <v>65</v>
      </c>
      <c r="D48" s="1" t="s">
        <v>564</v>
      </c>
      <c r="E48" s="5" t="s">
        <v>558</v>
      </c>
      <c r="F48" s="1" t="s">
        <v>499</v>
      </c>
      <c r="G48" s="1">
        <v>50000</v>
      </c>
      <c r="H48" s="1">
        <v>59000</v>
      </c>
      <c r="I48" s="1">
        <v>0</v>
      </c>
      <c r="J48" s="1">
        <v>0</v>
      </c>
      <c r="K48" s="1" t="s">
        <v>552</v>
      </c>
    </row>
    <row r="49" spans="1:11" hidden="1" x14ac:dyDescent="0.3">
      <c r="A49" s="1">
        <v>48</v>
      </c>
      <c r="B49" s="1">
        <v>39</v>
      </c>
      <c r="C49" s="1" t="s">
        <v>66</v>
      </c>
      <c r="D49" s="1" t="s">
        <v>564</v>
      </c>
      <c r="E49" s="5" t="s">
        <v>67</v>
      </c>
      <c r="F49" s="1" t="s">
        <v>501</v>
      </c>
      <c r="G49" s="1">
        <v>30000</v>
      </c>
      <c r="H49" s="1">
        <v>5185</v>
      </c>
      <c r="I49" s="1">
        <v>0</v>
      </c>
      <c r="J49" s="1">
        <v>0</v>
      </c>
      <c r="K49" s="1" t="s">
        <v>556</v>
      </c>
    </row>
    <row r="50" spans="1:11" hidden="1" x14ac:dyDescent="0.3">
      <c r="A50" s="1">
        <v>49</v>
      </c>
      <c r="B50" s="1">
        <v>40</v>
      </c>
      <c r="C50" s="1" t="s">
        <v>68</v>
      </c>
      <c r="D50" s="1" t="s">
        <v>564</v>
      </c>
      <c r="E50" s="5" t="s">
        <v>67</v>
      </c>
      <c r="F50" s="1" t="s">
        <v>501</v>
      </c>
      <c r="G50" s="1">
        <v>30000</v>
      </c>
      <c r="H50" s="1">
        <v>21189</v>
      </c>
      <c r="I50" s="1">
        <v>0</v>
      </c>
      <c r="J50" s="1">
        <v>0</v>
      </c>
      <c r="K50" s="1" t="s">
        <v>556</v>
      </c>
    </row>
    <row r="51" spans="1:11" hidden="1" x14ac:dyDescent="0.3">
      <c r="A51" s="1">
        <v>50</v>
      </c>
      <c r="B51" s="1">
        <v>42</v>
      </c>
      <c r="C51" s="1" t="s">
        <v>70</v>
      </c>
      <c r="D51" s="1" t="s">
        <v>564</v>
      </c>
      <c r="E51" s="5" t="s">
        <v>67</v>
      </c>
      <c r="F51" s="1" t="s">
        <v>501</v>
      </c>
      <c r="G51" s="1">
        <v>30000</v>
      </c>
      <c r="H51" s="1">
        <v>22319</v>
      </c>
      <c r="I51" s="1">
        <v>0</v>
      </c>
      <c r="J51" s="1">
        <v>0</v>
      </c>
      <c r="K51" s="1" t="s">
        <v>556</v>
      </c>
    </row>
    <row r="52" spans="1:11" hidden="1" x14ac:dyDescent="0.3">
      <c r="A52" s="1">
        <v>51</v>
      </c>
      <c r="B52" s="1">
        <v>43</v>
      </c>
      <c r="C52" s="1" t="s">
        <v>71</v>
      </c>
      <c r="D52" s="1" t="s">
        <v>564</v>
      </c>
      <c r="E52" s="5" t="s">
        <v>67</v>
      </c>
      <c r="F52" s="1" t="s">
        <v>501</v>
      </c>
      <c r="G52" s="1">
        <v>30000</v>
      </c>
      <c r="H52" s="1">
        <v>25745</v>
      </c>
      <c r="I52" s="1">
        <v>0</v>
      </c>
      <c r="J52" s="1">
        <v>0</v>
      </c>
      <c r="K52" s="1" t="s">
        <v>556</v>
      </c>
    </row>
    <row r="53" spans="1:11" hidden="1" x14ac:dyDescent="0.3">
      <c r="A53" s="1">
        <v>52</v>
      </c>
      <c r="B53" s="1">
        <v>44</v>
      </c>
      <c r="C53" s="1" t="s">
        <v>72</v>
      </c>
      <c r="D53" s="1" t="s">
        <v>564</v>
      </c>
      <c r="E53" s="5" t="s">
        <v>67</v>
      </c>
      <c r="F53" s="1" t="s">
        <v>501</v>
      </c>
      <c r="G53" s="1">
        <v>30000</v>
      </c>
      <c r="H53" s="1">
        <v>17329</v>
      </c>
      <c r="I53" s="1">
        <v>0</v>
      </c>
      <c r="J53" s="1">
        <v>0</v>
      </c>
      <c r="K53" s="1" t="s">
        <v>556</v>
      </c>
    </row>
    <row r="54" spans="1:11" hidden="1" x14ac:dyDescent="0.3">
      <c r="A54" s="1">
        <v>53</v>
      </c>
      <c r="B54" s="1">
        <v>126</v>
      </c>
      <c r="C54" s="1" t="s">
        <v>136</v>
      </c>
      <c r="D54" s="1" t="s">
        <v>564</v>
      </c>
      <c r="E54" s="5" t="s">
        <v>55</v>
      </c>
      <c r="F54" s="1" t="s">
        <v>504</v>
      </c>
      <c r="G54" s="1">
        <v>15000</v>
      </c>
      <c r="H54" s="1">
        <v>15000</v>
      </c>
      <c r="I54" s="1">
        <v>1170</v>
      </c>
      <c r="J54" s="1">
        <v>488</v>
      </c>
      <c r="K54" s="1" t="s">
        <v>554</v>
      </c>
    </row>
    <row r="55" spans="1:11" hidden="1" x14ac:dyDescent="0.3">
      <c r="A55" s="1">
        <v>54</v>
      </c>
      <c r="B55" s="1">
        <v>127</v>
      </c>
      <c r="C55" s="1" t="s">
        <v>137</v>
      </c>
      <c r="D55" s="1" t="s">
        <v>564</v>
      </c>
      <c r="E55" s="5" t="s">
        <v>55</v>
      </c>
      <c r="F55" s="1" t="s">
        <v>504</v>
      </c>
      <c r="G55" s="1">
        <v>16500</v>
      </c>
      <c r="H55" s="1">
        <v>16500</v>
      </c>
      <c r="I55" s="1">
        <v>1287</v>
      </c>
      <c r="J55" s="1">
        <v>537</v>
      </c>
      <c r="K55" s="1" t="s">
        <v>554</v>
      </c>
    </row>
    <row r="56" spans="1:11" hidden="1" x14ac:dyDescent="0.3">
      <c r="A56" s="1">
        <v>55</v>
      </c>
      <c r="B56" s="1">
        <v>10055</v>
      </c>
      <c r="C56" s="1" t="s">
        <v>138</v>
      </c>
      <c r="D56" s="1" t="s">
        <v>565</v>
      </c>
      <c r="E56" s="5" t="s">
        <v>53</v>
      </c>
      <c r="F56" s="1" t="s">
        <v>504</v>
      </c>
      <c r="G56" s="1">
        <v>13500</v>
      </c>
      <c r="H56" s="1">
        <v>12629</v>
      </c>
      <c r="I56" s="1">
        <v>0</v>
      </c>
      <c r="J56" s="1">
        <v>0</v>
      </c>
      <c r="K56" s="1" t="s">
        <v>557</v>
      </c>
    </row>
    <row r="57" spans="1:11" hidden="1" x14ac:dyDescent="0.3">
      <c r="A57" s="1">
        <v>56</v>
      </c>
      <c r="B57" s="1">
        <v>137</v>
      </c>
      <c r="C57" s="1" t="s">
        <v>140</v>
      </c>
      <c r="D57" s="1" t="s">
        <v>564</v>
      </c>
      <c r="E57" s="5" t="s">
        <v>12</v>
      </c>
      <c r="F57" s="1" t="s">
        <v>501</v>
      </c>
      <c r="G57" s="1">
        <v>22000</v>
      </c>
      <c r="H57" s="1">
        <v>21290</v>
      </c>
      <c r="I57" s="1">
        <v>1661</v>
      </c>
      <c r="J57" s="1">
        <v>0</v>
      </c>
      <c r="K57" s="1" t="s">
        <v>556</v>
      </c>
    </row>
    <row r="58" spans="1:11" hidden="1" x14ac:dyDescent="0.3">
      <c r="A58" s="1">
        <v>57</v>
      </c>
      <c r="B58" s="1">
        <v>10061</v>
      </c>
      <c r="C58" s="1" t="s">
        <v>144</v>
      </c>
      <c r="D58" s="1" t="s">
        <v>565</v>
      </c>
      <c r="E58" s="5" t="s">
        <v>8</v>
      </c>
      <c r="F58" s="1" t="s">
        <v>501</v>
      </c>
      <c r="G58" s="1">
        <v>8800</v>
      </c>
      <c r="H58" s="1">
        <v>0</v>
      </c>
      <c r="I58" s="1">
        <v>0</v>
      </c>
      <c r="J58" s="1">
        <v>0</v>
      </c>
      <c r="K58" s="1" t="s">
        <v>556</v>
      </c>
    </row>
    <row r="59" spans="1:11" hidden="1" x14ac:dyDescent="0.3">
      <c r="A59" s="1">
        <v>58</v>
      </c>
      <c r="B59" s="1">
        <v>10062</v>
      </c>
      <c r="C59" s="1" t="s">
        <v>145</v>
      </c>
      <c r="D59" s="1" t="s">
        <v>565</v>
      </c>
      <c r="E59" s="5" t="s">
        <v>53</v>
      </c>
      <c r="F59" s="1" t="s">
        <v>501</v>
      </c>
      <c r="G59" s="1">
        <v>10500</v>
      </c>
      <c r="H59" s="1">
        <v>9145</v>
      </c>
      <c r="I59" s="1">
        <v>0</v>
      </c>
      <c r="J59" s="1">
        <v>0</v>
      </c>
      <c r="K59" s="1" t="s">
        <v>557</v>
      </c>
    </row>
    <row r="60" spans="1:11" hidden="1" x14ac:dyDescent="0.3">
      <c r="A60" s="1">
        <v>59</v>
      </c>
      <c r="B60" s="1">
        <v>10063</v>
      </c>
      <c r="C60" s="1" t="s">
        <v>146</v>
      </c>
      <c r="D60" s="1" t="s">
        <v>565</v>
      </c>
      <c r="E60" s="5" t="s">
        <v>53</v>
      </c>
      <c r="F60" s="1" t="s">
        <v>501</v>
      </c>
      <c r="G60" s="1">
        <v>11000</v>
      </c>
      <c r="H60" s="1">
        <v>10645</v>
      </c>
      <c r="I60" s="1">
        <v>0</v>
      </c>
      <c r="J60" s="1">
        <v>0</v>
      </c>
      <c r="K60" s="1" t="s">
        <v>557</v>
      </c>
    </row>
    <row r="61" spans="1:11" hidden="1" x14ac:dyDescent="0.3">
      <c r="A61" s="1">
        <v>60</v>
      </c>
      <c r="B61" s="1">
        <v>10064</v>
      </c>
      <c r="C61" s="1" t="s">
        <v>147</v>
      </c>
      <c r="D61" s="1" t="s">
        <v>565</v>
      </c>
      <c r="E61" s="5" t="s">
        <v>35</v>
      </c>
      <c r="F61" s="1" t="s">
        <v>501</v>
      </c>
      <c r="G61" s="1">
        <v>13500</v>
      </c>
      <c r="H61" s="1">
        <v>13500</v>
      </c>
      <c r="I61" s="1">
        <v>0</v>
      </c>
      <c r="J61" s="1">
        <v>0</v>
      </c>
      <c r="K61" s="1" t="s">
        <v>556</v>
      </c>
    </row>
    <row r="62" spans="1:11" hidden="1" x14ac:dyDescent="0.3">
      <c r="A62" s="1">
        <v>61</v>
      </c>
      <c r="B62" s="1">
        <v>156</v>
      </c>
      <c r="C62" s="1" t="s">
        <v>187</v>
      </c>
      <c r="D62" s="1" t="s">
        <v>564</v>
      </c>
      <c r="E62" s="5" t="s">
        <v>35</v>
      </c>
      <c r="F62" s="1" t="s">
        <v>501</v>
      </c>
      <c r="G62" s="1">
        <v>12500</v>
      </c>
      <c r="H62" s="1">
        <v>10080</v>
      </c>
      <c r="I62" s="1">
        <v>786</v>
      </c>
      <c r="J62" s="1">
        <v>328</v>
      </c>
      <c r="K62" s="1" t="s">
        <v>556</v>
      </c>
    </row>
    <row r="63" spans="1:11" hidden="1" x14ac:dyDescent="0.3">
      <c r="A63" s="1">
        <v>62</v>
      </c>
      <c r="B63" s="1">
        <v>10069</v>
      </c>
      <c r="C63" s="1" t="s">
        <v>151</v>
      </c>
      <c r="D63" s="1" t="s">
        <v>565</v>
      </c>
      <c r="E63" s="5" t="s">
        <v>35</v>
      </c>
      <c r="F63" s="1" t="s">
        <v>501</v>
      </c>
      <c r="G63" s="1">
        <v>13000</v>
      </c>
      <c r="H63" s="1">
        <v>11742</v>
      </c>
      <c r="I63" s="1">
        <v>0</v>
      </c>
      <c r="J63" s="1">
        <v>0</v>
      </c>
      <c r="K63" s="1" t="s">
        <v>556</v>
      </c>
    </row>
    <row r="64" spans="1:11" hidden="1" x14ac:dyDescent="0.3">
      <c r="A64" s="1">
        <v>63</v>
      </c>
      <c r="B64" s="1">
        <v>48</v>
      </c>
      <c r="C64" s="1" t="s">
        <v>77</v>
      </c>
      <c r="D64" s="1" t="s">
        <v>564</v>
      </c>
      <c r="E64" s="5" t="s">
        <v>67</v>
      </c>
      <c r="F64" s="1" t="s">
        <v>501</v>
      </c>
      <c r="G64" s="1">
        <v>30000</v>
      </c>
      <c r="H64" s="1">
        <v>28095</v>
      </c>
      <c r="I64" s="1">
        <v>0</v>
      </c>
      <c r="J64" s="1">
        <v>0</v>
      </c>
      <c r="K64" s="1" t="s">
        <v>556</v>
      </c>
    </row>
    <row r="65" spans="1:11" hidden="1" x14ac:dyDescent="0.3">
      <c r="A65" s="1">
        <v>64</v>
      </c>
      <c r="B65" s="1">
        <v>10070</v>
      </c>
      <c r="C65" s="1" t="s">
        <v>152</v>
      </c>
      <c r="D65" s="1" t="s">
        <v>565</v>
      </c>
      <c r="E65" s="5" t="s">
        <v>35</v>
      </c>
      <c r="F65" s="1" t="s">
        <v>501</v>
      </c>
      <c r="G65" s="1">
        <v>13500</v>
      </c>
      <c r="H65" s="1">
        <v>13065</v>
      </c>
      <c r="I65" s="1">
        <v>0</v>
      </c>
      <c r="J65" s="1">
        <v>0</v>
      </c>
      <c r="K65" s="1" t="s">
        <v>556</v>
      </c>
    </row>
    <row r="66" spans="1:11" hidden="1" x14ac:dyDescent="0.3">
      <c r="A66" s="1">
        <v>65</v>
      </c>
      <c r="B66" s="1">
        <v>46</v>
      </c>
      <c r="C66" s="1" t="s">
        <v>74</v>
      </c>
      <c r="D66" s="1" t="s">
        <v>564</v>
      </c>
      <c r="E66" s="5" t="s">
        <v>42</v>
      </c>
      <c r="F66" s="1" t="s">
        <v>506</v>
      </c>
      <c r="G66" s="1">
        <v>80000</v>
      </c>
      <c r="H66" s="1">
        <v>80000</v>
      </c>
      <c r="I66" s="1">
        <v>0</v>
      </c>
      <c r="J66" s="1">
        <v>0</v>
      </c>
      <c r="K66" s="1" t="s">
        <v>552</v>
      </c>
    </row>
    <row r="67" spans="1:11" hidden="1" x14ac:dyDescent="0.3">
      <c r="A67" s="1">
        <v>66</v>
      </c>
      <c r="B67" s="1">
        <v>10076</v>
      </c>
      <c r="C67" s="1" t="s">
        <v>157</v>
      </c>
      <c r="D67" s="1" t="s">
        <v>565</v>
      </c>
      <c r="E67" s="5" t="s">
        <v>61</v>
      </c>
      <c r="F67" s="1" t="s">
        <v>501</v>
      </c>
      <c r="G67" s="1">
        <v>12500</v>
      </c>
      <c r="H67" s="1">
        <v>12500</v>
      </c>
      <c r="I67" s="1">
        <v>0</v>
      </c>
      <c r="J67" s="1">
        <v>0</v>
      </c>
      <c r="K67" s="1" t="s">
        <v>556</v>
      </c>
    </row>
    <row r="68" spans="1:11" hidden="1" x14ac:dyDescent="0.3">
      <c r="A68" s="1">
        <v>67</v>
      </c>
      <c r="B68" s="1">
        <v>128</v>
      </c>
      <c r="C68" s="1" t="s">
        <v>159</v>
      </c>
      <c r="D68" s="1" t="s">
        <v>564</v>
      </c>
      <c r="E68" s="5" t="s">
        <v>12</v>
      </c>
      <c r="F68" s="1" t="s">
        <v>501</v>
      </c>
      <c r="G68" s="1">
        <v>19000</v>
      </c>
      <c r="H68" s="1">
        <v>19000</v>
      </c>
      <c r="I68" s="1">
        <v>1950</v>
      </c>
      <c r="J68" s="1">
        <v>618</v>
      </c>
      <c r="K68" s="1" t="s">
        <v>556</v>
      </c>
    </row>
    <row r="69" spans="1:11" hidden="1" x14ac:dyDescent="0.3">
      <c r="A69" s="1">
        <v>68</v>
      </c>
      <c r="B69" s="1">
        <v>49</v>
      </c>
      <c r="C69" s="1" t="s">
        <v>78</v>
      </c>
      <c r="D69" s="1" t="s">
        <v>564</v>
      </c>
      <c r="E69" s="5" t="s">
        <v>67</v>
      </c>
      <c r="F69" s="1" t="s">
        <v>501</v>
      </c>
      <c r="G69" s="1">
        <v>30000</v>
      </c>
      <c r="H69" s="1">
        <v>20343</v>
      </c>
      <c r="I69" s="1">
        <v>0</v>
      </c>
      <c r="J69" s="1">
        <v>0</v>
      </c>
      <c r="K69" s="1" t="s">
        <v>556</v>
      </c>
    </row>
    <row r="70" spans="1:11" hidden="1" x14ac:dyDescent="0.3">
      <c r="A70" s="1">
        <v>69</v>
      </c>
      <c r="B70" s="1">
        <v>50</v>
      </c>
      <c r="C70" s="1" t="s">
        <v>199</v>
      </c>
      <c r="D70" s="1" t="s">
        <v>564</v>
      </c>
      <c r="E70" s="5" t="s">
        <v>10</v>
      </c>
      <c r="F70" s="1" t="s">
        <v>504</v>
      </c>
      <c r="G70" s="1">
        <v>30000</v>
      </c>
      <c r="H70" s="1">
        <v>30000</v>
      </c>
      <c r="I70" s="1">
        <v>0</v>
      </c>
      <c r="J70" s="1">
        <v>0</v>
      </c>
      <c r="K70" s="1" t="s">
        <v>553</v>
      </c>
    </row>
    <row r="71" spans="1:11" hidden="1" x14ac:dyDescent="0.3">
      <c r="A71" s="1">
        <v>70</v>
      </c>
      <c r="B71" s="1">
        <v>129</v>
      </c>
      <c r="C71" s="1" t="s">
        <v>204</v>
      </c>
      <c r="D71" s="1" t="s">
        <v>564</v>
      </c>
      <c r="E71" s="5" t="s">
        <v>41</v>
      </c>
      <c r="F71" s="1" t="s">
        <v>501</v>
      </c>
      <c r="G71" s="1">
        <v>17000</v>
      </c>
      <c r="H71" s="1">
        <v>17000</v>
      </c>
      <c r="I71" s="1">
        <v>1326</v>
      </c>
      <c r="J71" s="1">
        <v>553</v>
      </c>
      <c r="K71" s="1" t="s">
        <v>555</v>
      </c>
    </row>
    <row r="72" spans="1:11" hidden="1" x14ac:dyDescent="0.3">
      <c r="A72" s="1">
        <v>71</v>
      </c>
      <c r="B72" s="1">
        <v>10096</v>
      </c>
      <c r="C72" s="1" t="s">
        <v>210</v>
      </c>
      <c r="D72" s="1" t="s">
        <v>565</v>
      </c>
      <c r="E72" s="5" t="s">
        <v>61</v>
      </c>
      <c r="F72" s="1" t="s">
        <v>501</v>
      </c>
      <c r="G72" s="1">
        <v>13000</v>
      </c>
      <c r="H72" s="1">
        <v>13000</v>
      </c>
      <c r="I72" s="1">
        <v>0</v>
      </c>
      <c r="J72" s="1">
        <v>0</v>
      </c>
      <c r="K72" s="1" t="s">
        <v>556</v>
      </c>
    </row>
    <row r="73" spans="1:11" hidden="1" x14ac:dyDescent="0.3">
      <c r="A73" s="1">
        <v>72</v>
      </c>
      <c r="B73" s="1">
        <v>56</v>
      </c>
      <c r="C73" s="1" t="s">
        <v>219</v>
      </c>
      <c r="D73" s="1" t="s">
        <v>564</v>
      </c>
      <c r="E73" s="5" t="s">
        <v>67</v>
      </c>
      <c r="F73" s="1" t="s">
        <v>501</v>
      </c>
      <c r="G73" s="1">
        <v>30000</v>
      </c>
      <c r="H73" s="1">
        <v>19838</v>
      </c>
      <c r="I73" s="1">
        <v>0</v>
      </c>
      <c r="J73" s="1">
        <v>0</v>
      </c>
      <c r="K73" s="1" t="s">
        <v>556</v>
      </c>
    </row>
    <row r="74" spans="1:11" hidden="1" x14ac:dyDescent="0.3">
      <c r="A74" s="1">
        <v>73</v>
      </c>
      <c r="B74" s="1">
        <v>10099</v>
      </c>
      <c r="C74" s="1" t="s">
        <v>212</v>
      </c>
      <c r="D74" s="1" t="s">
        <v>565</v>
      </c>
      <c r="E74" s="5" t="s">
        <v>53</v>
      </c>
      <c r="F74" s="1" t="s">
        <v>504</v>
      </c>
      <c r="G74" s="1">
        <v>11000</v>
      </c>
      <c r="H74" s="1">
        <v>11000</v>
      </c>
      <c r="I74" s="1">
        <v>0</v>
      </c>
      <c r="J74" s="1">
        <v>0</v>
      </c>
      <c r="K74" s="1" t="s">
        <v>557</v>
      </c>
    </row>
    <row r="75" spans="1:11" hidden="1" x14ac:dyDescent="0.3">
      <c r="A75" s="1">
        <v>74</v>
      </c>
      <c r="B75" s="1">
        <v>55</v>
      </c>
      <c r="C75" s="1" t="s">
        <v>218</v>
      </c>
      <c r="D75" s="1" t="s">
        <v>564</v>
      </c>
      <c r="E75" s="5" t="s">
        <v>67</v>
      </c>
      <c r="F75" s="1" t="s">
        <v>501</v>
      </c>
      <c r="G75" s="1">
        <v>30000</v>
      </c>
      <c r="H75" s="1">
        <v>17498</v>
      </c>
      <c r="I75" s="1">
        <v>0</v>
      </c>
      <c r="J75" s="1">
        <v>0</v>
      </c>
      <c r="K75" s="1" t="s">
        <v>556</v>
      </c>
    </row>
    <row r="76" spans="1:11" hidden="1" x14ac:dyDescent="0.3">
      <c r="A76" s="1">
        <v>75</v>
      </c>
      <c r="B76" s="1">
        <v>54</v>
      </c>
      <c r="C76" s="1" t="s">
        <v>217</v>
      </c>
      <c r="D76" s="1" t="s">
        <v>564</v>
      </c>
      <c r="E76" s="5" t="s">
        <v>67</v>
      </c>
      <c r="F76" s="1" t="s">
        <v>501</v>
      </c>
      <c r="G76" s="1">
        <v>30000</v>
      </c>
      <c r="H76" s="1">
        <v>17124</v>
      </c>
      <c r="I76" s="1">
        <v>0</v>
      </c>
      <c r="J76" s="1">
        <v>0</v>
      </c>
      <c r="K76" s="1" t="s">
        <v>556</v>
      </c>
    </row>
    <row r="77" spans="1:11" hidden="1" x14ac:dyDescent="0.3">
      <c r="A77" s="1">
        <v>76</v>
      </c>
      <c r="B77" s="1">
        <v>10101</v>
      </c>
      <c r="C77" s="1" t="s">
        <v>215</v>
      </c>
      <c r="D77" s="1" t="s">
        <v>565</v>
      </c>
      <c r="E77" s="5" t="s">
        <v>35</v>
      </c>
      <c r="F77" s="1" t="s">
        <v>501</v>
      </c>
      <c r="G77" s="1">
        <v>11500</v>
      </c>
      <c r="H77" s="1">
        <v>11129</v>
      </c>
      <c r="I77" s="1">
        <v>0</v>
      </c>
      <c r="J77" s="1">
        <v>0</v>
      </c>
      <c r="K77" s="1" t="s">
        <v>556</v>
      </c>
    </row>
    <row r="78" spans="1:11" hidden="1" x14ac:dyDescent="0.3">
      <c r="A78" s="1">
        <v>77</v>
      </c>
      <c r="B78" s="1">
        <v>10103</v>
      </c>
      <c r="C78" s="1" t="s">
        <v>222</v>
      </c>
      <c r="D78" s="1" t="s">
        <v>565</v>
      </c>
      <c r="E78" s="5" t="s">
        <v>35</v>
      </c>
      <c r="F78" s="1" t="s">
        <v>501</v>
      </c>
      <c r="G78" s="1">
        <v>12500</v>
      </c>
      <c r="H78" s="1">
        <v>6452</v>
      </c>
      <c r="I78" s="1">
        <v>0</v>
      </c>
      <c r="J78" s="1">
        <v>0</v>
      </c>
      <c r="K78" s="1" t="s">
        <v>556</v>
      </c>
    </row>
    <row r="79" spans="1:11" hidden="1" x14ac:dyDescent="0.3">
      <c r="A79" s="1">
        <v>78</v>
      </c>
      <c r="B79" s="1">
        <v>10104</v>
      </c>
      <c r="C79" s="1" t="s">
        <v>223</v>
      </c>
      <c r="D79" s="1" t="s">
        <v>565</v>
      </c>
      <c r="E79" s="5" t="s">
        <v>35</v>
      </c>
      <c r="F79" s="1" t="s">
        <v>501</v>
      </c>
      <c r="G79" s="1">
        <v>13500</v>
      </c>
      <c r="H79" s="1">
        <v>13065</v>
      </c>
      <c r="I79" s="1">
        <v>0</v>
      </c>
      <c r="J79" s="1">
        <v>0</v>
      </c>
      <c r="K79" s="1" t="s">
        <v>556</v>
      </c>
    </row>
    <row r="80" spans="1:11" hidden="1" x14ac:dyDescent="0.3">
      <c r="A80" s="1">
        <v>79</v>
      </c>
      <c r="B80" s="1">
        <v>10115</v>
      </c>
      <c r="C80" s="1" t="s">
        <v>236</v>
      </c>
      <c r="D80" s="1" t="s">
        <v>565</v>
      </c>
      <c r="E80" s="5" t="s">
        <v>35</v>
      </c>
      <c r="F80" s="1" t="s">
        <v>501</v>
      </c>
      <c r="G80" s="1">
        <v>12500</v>
      </c>
      <c r="H80" s="1">
        <v>9677</v>
      </c>
      <c r="I80" s="1">
        <v>0</v>
      </c>
      <c r="J80" s="1">
        <v>0</v>
      </c>
      <c r="K80" s="1" t="s">
        <v>556</v>
      </c>
    </row>
    <row r="81" spans="1:11" hidden="1" x14ac:dyDescent="0.3">
      <c r="A81" s="1">
        <v>80</v>
      </c>
      <c r="B81" s="1">
        <v>57</v>
      </c>
      <c r="C81" s="1" t="s">
        <v>220</v>
      </c>
      <c r="D81" s="1" t="s">
        <v>564</v>
      </c>
      <c r="E81" s="5" t="s">
        <v>42</v>
      </c>
      <c r="F81" s="1" t="s">
        <v>506</v>
      </c>
      <c r="G81" s="1">
        <v>48600</v>
      </c>
      <c r="H81" s="1">
        <v>46248</v>
      </c>
      <c r="I81" s="1">
        <v>1950</v>
      </c>
      <c r="J81" s="1">
        <v>0</v>
      </c>
      <c r="K81" s="1" t="s">
        <v>553</v>
      </c>
    </row>
    <row r="82" spans="1:11" hidden="1" x14ac:dyDescent="0.3">
      <c r="A82" s="1">
        <v>81</v>
      </c>
      <c r="B82" s="1">
        <v>131</v>
      </c>
      <c r="C82" s="1" t="s">
        <v>225</v>
      </c>
      <c r="D82" s="1" t="s">
        <v>564</v>
      </c>
      <c r="E82" s="5" t="s">
        <v>12</v>
      </c>
      <c r="F82" s="1" t="s">
        <v>501</v>
      </c>
      <c r="G82" s="1">
        <v>13000</v>
      </c>
      <c r="H82" s="1">
        <v>10484</v>
      </c>
      <c r="I82" s="1">
        <v>818</v>
      </c>
      <c r="J82" s="1">
        <v>341</v>
      </c>
      <c r="K82" s="1" t="s">
        <v>556</v>
      </c>
    </row>
    <row r="83" spans="1:11" hidden="1" x14ac:dyDescent="0.3">
      <c r="A83" s="1">
        <v>82</v>
      </c>
      <c r="B83" s="1">
        <v>132</v>
      </c>
      <c r="C83" s="1" t="s">
        <v>232</v>
      </c>
      <c r="D83" s="1" t="s">
        <v>564</v>
      </c>
      <c r="E83" s="5" t="s">
        <v>10</v>
      </c>
      <c r="F83" s="1" t="s">
        <v>504</v>
      </c>
      <c r="G83" s="1">
        <v>14800</v>
      </c>
      <c r="H83" s="1">
        <v>12175</v>
      </c>
      <c r="I83" s="1">
        <v>0</v>
      </c>
      <c r="J83" s="1">
        <v>396</v>
      </c>
      <c r="K83" s="1" t="s">
        <v>555</v>
      </c>
    </row>
    <row r="84" spans="1:11" hidden="1" x14ac:dyDescent="0.3">
      <c r="A84" s="1">
        <v>83</v>
      </c>
      <c r="B84" s="1">
        <v>10109</v>
      </c>
      <c r="C84" s="1" t="s">
        <v>227</v>
      </c>
      <c r="D84" s="1" t="s">
        <v>565</v>
      </c>
      <c r="E84" s="5" t="s">
        <v>35</v>
      </c>
      <c r="F84" s="1" t="s">
        <v>501</v>
      </c>
      <c r="G84" s="1">
        <v>11500</v>
      </c>
      <c r="H84" s="1">
        <v>7790</v>
      </c>
      <c r="I84" s="1">
        <v>0</v>
      </c>
      <c r="J84" s="1">
        <v>0</v>
      </c>
      <c r="K84" s="1" t="s">
        <v>556</v>
      </c>
    </row>
    <row r="85" spans="1:11" hidden="1" x14ac:dyDescent="0.3">
      <c r="A85" s="1">
        <v>84</v>
      </c>
      <c r="B85" s="1">
        <v>10110</v>
      </c>
      <c r="C85" s="1" t="s">
        <v>228</v>
      </c>
      <c r="D85" s="1" t="s">
        <v>565</v>
      </c>
      <c r="E85" s="5" t="s">
        <v>61</v>
      </c>
      <c r="F85" s="1" t="s">
        <v>501</v>
      </c>
      <c r="G85" s="1">
        <v>11500</v>
      </c>
      <c r="H85" s="1">
        <v>6307</v>
      </c>
      <c r="I85" s="1">
        <v>0</v>
      </c>
      <c r="J85" s="1">
        <v>0</v>
      </c>
      <c r="K85" s="1" t="s">
        <v>556</v>
      </c>
    </row>
    <row r="86" spans="1:11" hidden="1" x14ac:dyDescent="0.3">
      <c r="A86" s="1">
        <v>85</v>
      </c>
      <c r="B86" s="1">
        <v>59</v>
      </c>
      <c r="C86" s="1" t="s">
        <v>233</v>
      </c>
      <c r="D86" s="1" t="s">
        <v>564</v>
      </c>
      <c r="E86" s="5" t="s">
        <v>42</v>
      </c>
      <c r="F86" s="1" t="s">
        <v>501</v>
      </c>
      <c r="G86" s="1">
        <v>50000</v>
      </c>
      <c r="H86" s="1">
        <v>41935</v>
      </c>
      <c r="I86" s="1">
        <v>0</v>
      </c>
      <c r="J86" s="1">
        <v>0</v>
      </c>
      <c r="K86" s="1" t="s">
        <v>552</v>
      </c>
    </row>
    <row r="87" spans="1:11" hidden="1" x14ac:dyDescent="0.3">
      <c r="A87" s="1">
        <v>86</v>
      </c>
      <c r="B87" s="1">
        <v>10111</v>
      </c>
      <c r="C87" s="1" t="s">
        <v>229</v>
      </c>
      <c r="D87" s="1" t="s">
        <v>565</v>
      </c>
      <c r="E87" s="5" t="s">
        <v>61</v>
      </c>
      <c r="F87" s="1" t="s">
        <v>501</v>
      </c>
      <c r="G87" s="1">
        <v>12500</v>
      </c>
      <c r="H87" s="1">
        <v>11693</v>
      </c>
      <c r="I87" s="1">
        <v>0</v>
      </c>
      <c r="J87" s="1">
        <v>0</v>
      </c>
      <c r="K87" s="1" t="s">
        <v>556</v>
      </c>
    </row>
    <row r="88" spans="1:11" hidden="1" x14ac:dyDescent="0.3">
      <c r="A88" s="1">
        <v>87</v>
      </c>
      <c r="B88" s="1">
        <v>10112</v>
      </c>
      <c r="C88" s="1" t="s">
        <v>230</v>
      </c>
      <c r="D88" s="1" t="s">
        <v>565</v>
      </c>
      <c r="E88" s="5" t="s">
        <v>35</v>
      </c>
      <c r="F88" s="1" t="s">
        <v>501</v>
      </c>
      <c r="G88" s="1">
        <v>11000</v>
      </c>
      <c r="H88" s="1">
        <v>11000</v>
      </c>
      <c r="I88" s="1">
        <v>0</v>
      </c>
      <c r="J88" s="1">
        <v>0</v>
      </c>
      <c r="K88" s="1" t="s">
        <v>556</v>
      </c>
    </row>
    <row r="89" spans="1:11" hidden="1" x14ac:dyDescent="0.3">
      <c r="A89" s="1">
        <v>88</v>
      </c>
      <c r="B89" s="1">
        <v>10117</v>
      </c>
      <c r="C89" s="1" t="s">
        <v>238</v>
      </c>
      <c r="D89" s="1" t="s">
        <v>565</v>
      </c>
      <c r="E89" s="5" t="s">
        <v>35</v>
      </c>
      <c r="F89" s="1" t="s">
        <v>501</v>
      </c>
      <c r="G89" s="1">
        <v>11500</v>
      </c>
      <c r="H89" s="1">
        <v>10387</v>
      </c>
      <c r="I89" s="1">
        <v>0</v>
      </c>
      <c r="J89" s="1">
        <v>0</v>
      </c>
      <c r="K89" s="1" t="s">
        <v>556</v>
      </c>
    </row>
    <row r="90" spans="1:11" hidden="1" x14ac:dyDescent="0.3">
      <c r="A90" s="1">
        <v>89</v>
      </c>
      <c r="B90" s="1">
        <v>10121</v>
      </c>
      <c r="C90" s="1" t="s">
        <v>241</v>
      </c>
      <c r="D90" s="1" t="s">
        <v>565</v>
      </c>
      <c r="E90" s="5" t="s">
        <v>53</v>
      </c>
      <c r="F90" s="1" t="s">
        <v>504</v>
      </c>
      <c r="G90" s="1">
        <v>11500</v>
      </c>
      <c r="H90" s="1">
        <v>8162</v>
      </c>
      <c r="I90" s="1">
        <v>0</v>
      </c>
      <c r="J90" s="1">
        <v>0</v>
      </c>
      <c r="K90" s="1" t="s">
        <v>557</v>
      </c>
    </row>
    <row r="91" spans="1:11" hidden="1" x14ac:dyDescent="0.3">
      <c r="A91" s="1">
        <v>90</v>
      </c>
      <c r="B91" s="1">
        <v>10124</v>
      </c>
      <c r="C91" s="1" t="s">
        <v>244</v>
      </c>
      <c r="D91" s="1" t="s">
        <v>565</v>
      </c>
      <c r="E91" s="5" t="s">
        <v>35</v>
      </c>
      <c r="F91" s="1" t="s">
        <v>501</v>
      </c>
      <c r="G91" s="1">
        <v>14000</v>
      </c>
      <c r="H91" s="1">
        <v>11516</v>
      </c>
      <c r="I91" s="1">
        <v>0</v>
      </c>
      <c r="J91" s="1">
        <v>0</v>
      </c>
      <c r="K91" s="1" t="s">
        <v>556</v>
      </c>
    </row>
    <row r="92" spans="1:11" hidden="1" x14ac:dyDescent="0.3">
      <c r="A92" s="1">
        <v>91</v>
      </c>
      <c r="B92" s="1">
        <v>10125</v>
      </c>
      <c r="C92" s="1" t="s">
        <v>245</v>
      </c>
      <c r="D92" s="1" t="s">
        <v>565</v>
      </c>
      <c r="E92" s="5" t="s">
        <v>53</v>
      </c>
      <c r="F92" s="1" t="s">
        <v>506</v>
      </c>
      <c r="G92" s="1">
        <v>14500</v>
      </c>
      <c r="H92" s="1">
        <v>10758</v>
      </c>
      <c r="I92" s="1">
        <v>0</v>
      </c>
      <c r="J92" s="1">
        <v>0</v>
      </c>
      <c r="K92" s="1" t="s">
        <v>557</v>
      </c>
    </row>
    <row r="93" spans="1:11" hidden="1" x14ac:dyDescent="0.3">
      <c r="A93" s="1">
        <v>92</v>
      </c>
      <c r="B93" s="1">
        <v>10127</v>
      </c>
      <c r="C93" s="1" t="s">
        <v>247</v>
      </c>
      <c r="D93" s="1" t="s">
        <v>565</v>
      </c>
      <c r="E93" s="5" t="s">
        <v>35</v>
      </c>
      <c r="F93" s="1" t="s">
        <v>501</v>
      </c>
      <c r="G93" s="1">
        <v>14000</v>
      </c>
      <c r="H93" s="1">
        <v>13097</v>
      </c>
      <c r="I93" s="1">
        <v>0</v>
      </c>
      <c r="J93" s="1">
        <v>0</v>
      </c>
      <c r="K93" s="1" t="s">
        <v>556</v>
      </c>
    </row>
    <row r="94" spans="1:11" hidden="1" x14ac:dyDescent="0.3">
      <c r="A94" s="1">
        <v>93</v>
      </c>
      <c r="B94" s="1">
        <v>10128</v>
      </c>
      <c r="C94" s="1" t="s">
        <v>248</v>
      </c>
      <c r="D94" s="1" t="s">
        <v>565</v>
      </c>
      <c r="E94" s="5" t="s">
        <v>35</v>
      </c>
      <c r="F94" s="1" t="s">
        <v>501</v>
      </c>
      <c r="G94" s="1">
        <v>14000</v>
      </c>
      <c r="H94" s="1">
        <v>11968</v>
      </c>
      <c r="I94" s="1">
        <v>0</v>
      </c>
      <c r="J94" s="1">
        <v>0</v>
      </c>
      <c r="K94" s="1" t="s">
        <v>556</v>
      </c>
    </row>
    <row r="95" spans="1:11" hidden="1" x14ac:dyDescent="0.3">
      <c r="A95" s="1">
        <v>94</v>
      </c>
      <c r="B95" s="1">
        <v>10131</v>
      </c>
      <c r="C95" s="1" t="s">
        <v>253</v>
      </c>
      <c r="D95" s="1" t="s">
        <v>565</v>
      </c>
      <c r="E95" s="5" t="s">
        <v>53</v>
      </c>
      <c r="F95" s="1" t="s">
        <v>504</v>
      </c>
      <c r="G95" s="1">
        <v>11000</v>
      </c>
      <c r="H95" s="1">
        <v>4435</v>
      </c>
      <c r="I95" s="1">
        <v>0</v>
      </c>
      <c r="J95" s="1">
        <v>0</v>
      </c>
      <c r="K95" s="1" t="s">
        <v>557</v>
      </c>
    </row>
    <row r="96" spans="1:11" hidden="1" x14ac:dyDescent="0.3">
      <c r="A96" s="1">
        <v>95</v>
      </c>
      <c r="B96" s="1">
        <v>170</v>
      </c>
      <c r="C96" s="1" t="s">
        <v>254</v>
      </c>
      <c r="D96" s="1" t="s">
        <v>564</v>
      </c>
      <c r="E96" s="5" t="s">
        <v>35</v>
      </c>
      <c r="F96" s="1" t="s">
        <v>501</v>
      </c>
      <c r="G96" s="1">
        <v>13000</v>
      </c>
      <c r="H96" s="1">
        <v>8177</v>
      </c>
      <c r="I96" s="1">
        <v>638</v>
      </c>
      <c r="J96" s="1">
        <v>266</v>
      </c>
      <c r="K96" s="1" t="s">
        <v>556</v>
      </c>
    </row>
    <row r="97" spans="1:11" hidden="1" x14ac:dyDescent="0.3">
      <c r="A97" s="1">
        <v>96</v>
      </c>
      <c r="B97" s="1">
        <v>190</v>
      </c>
      <c r="C97" s="1" t="s">
        <v>250</v>
      </c>
      <c r="D97" s="1" t="s">
        <v>564</v>
      </c>
      <c r="E97" s="5" t="s">
        <v>35</v>
      </c>
      <c r="F97" s="1" t="s">
        <v>501</v>
      </c>
      <c r="G97" s="1">
        <v>13000</v>
      </c>
      <c r="H97" s="1">
        <v>12580</v>
      </c>
      <c r="I97" s="1">
        <v>981</v>
      </c>
      <c r="J97" s="1">
        <v>409</v>
      </c>
      <c r="K97" s="1" t="s">
        <v>556</v>
      </c>
    </row>
    <row r="98" spans="1:11" hidden="1" x14ac:dyDescent="0.3">
      <c r="A98" s="1">
        <v>97</v>
      </c>
      <c r="B98" s="1">
        <v>10135</v>
      </c>
      <c r="C98" s="1" t="s">
        <v>256</v>
      </c>
      <c r="D98" s="1" t="s">
        <v>565</v>
      </c>
      <c r="E98" s="5" t="s">
        <v>53</v>
      </c>
      <c r="F98" s="1" t="s">
        <v>501</v>
      </c>
      <c r="G98" s="1">
        <v>15500</v>
      </c>
      <c r="H98" s="1">
        <v>12000</v>
      </c>
      <c r="I98" s="1">
        <v>0</v>
      </c>
      <c r="J98" s="1">
        <v>0</v>
      </c>
      <c r="K98" s="1" t="s">
        <v>557</v>
      </c>
    </row>
    <row r="99" spans="1:11" hidden="1" x14ac:dyDescent="0.3">
      <c r="A99" s="1">
        <v>98</v>
      </c>
      <c r="B99" s="1">
        <v>154</v>
      </c>
      <c r="C99" s="1" t="s">
        <v>260</v>
      </c>
      <c r="D99" s="1" t="s">
        <v>564</v>
      </c>
      <c r="E99" s="5" t="s">
        <v>53</v>
      </c>
      <c r="F99" s="1" t="s">
        <v>501</v>
      </c>
      <c r="G99" s="1">
        <v>15000</v>
      </c>
      <c r="H99" s="1">
        <v>15000</v>
      </c>
      <c r="I99" s="1">
        <v>1170</v>
      </c>
      <c r="J99" s="1">
        <v>488</v>
      </c>
      <c r="K99" s="1" t="s">
        <v>557</v>
      </c>
    </row>
    <row r="100" spans="1:11" hidden="1" x14ac:dyDescent="0.3">
      <c r="A100" s="1">
        <v>99</v>
      </c>
      <c r="B100" s="1">
        <v>10137</v>
      </c>
      <c r="C100" s="1" t="s">
        <v>258</v>
      </c>
      <c r="D100" s="1" t="s">
        <v>565</v>
      </c>
      <c r="E100" s="5" t="s">
        <v>53</v>
      </c>
      <c r="F100" s="1" t="s">
        <v>504</v>
      </c>
      <c r="G100" s="1">
        <v>11000</v>
      </c>
      <c r="H100" s="1">
        <v>7275</v>
      </c>
      <c r="I100" s="1">
        <v>0</v>
      </c>
      <c r="J100" s="1">
        <v>0</v>
      </c>
      <c r="K100" s="1" t="s">
        <v>557</v>
      </c>
    </row>
    <row r="101" spans="1:11" hidden="1" x14ac:dyDescent="0.3">
      <c r="A101" s="1">
        <v>100</v>
      </c>
      <c r="B101" s="1">
        <v>10140</v>
      </c>
      <c r="C101" s="1" t="s">
        <v>261</v>
      </c>
      <c r="D101" s="1" t="s">
        <v>565</v>
      </c>
      <c r="E101" s="5" t="s">
        <v>35</v>
      </c>
      <c r="F101" s="1" t="s">
        <v>501</v>
      </c>
      <c r="G101" s="1">
        <v>12500</v>
      </c>
      <c r="H101" s="1">
        <v>10484</v>
      </c>
      <c r="I101" s="1">
        <v>0</v>
      </c>
      <c r="J101" s="1">
        <v>0</v>
      </c>
      <c r="K101" s="1" t="s">
        <v>556</v>
      </c>
    </row>
    <row r="102" spans="1:11" hidden="1" x14ac:dyDescent="0.3">
      <c r="A102" s="1">
        <v>101</v>
      </c>
      <c r="B102" s="1">
        <v>153</v>
      </c>
      <c r="C102" s="1" t="s">
        <v>266</v>
      </c>
      <c r="D102" s="1" t="s">
        <v>564</v>
      </c>
      <c r="E102" s="5" t="s">
        <v>53</v>
      </c>
      <c r="F102" s="1" t="s">
        <v>501</v>
      </c>
      <c r="G102" s="1">
        <v>14000</v>
      </c>
      <c r="H102" s="1">
        <v>13097</v>
      </c>
      <c r="I102" s="1">
        <v>1022</v>
      </c>
      <c r="J102" s="1">
        <v>426</v>
      </c>
      <c r="K102" s="1" t="s">
        <v>557</v>
      </c>
    </row>
    <row r="103" spans="1:11" hidden="1" x14ac:dyDescent="0.3">
      <c r="A103" s="1">
        <v>102</v>
      </c>
      <c r="B103" s="1">
        <v>62</v>
      </c>
      <c r="C103" s="1" t="s">
        <v>281</v>
      </c>
      <c r="D103" s="1" t="s">
        <v>564</v>
      </c>
      <c r="E103" s="5" t="s">
        <v>67</v>
      </c>
      <c r="F103" s="1" t="s">
        <v>501</v>
      </c>
      <c r="G103" s="1">
        <v>30000</v>
      </c>
      <c r="H103" s="1">
        <v>18210</v>
      </c>
      <c r="I103" s="1">
        <v>0</v>
      </c>
      <c r="J103" s="1">
        <v>0</v>
      </c>
      <c r="K103" s="1" t="s">
        <v>556</v>
      </c>
    </row>
    <row r="104" spans="1:11" hidden="1" x14ac:dyDescent="0.3">
      <c r="A104" s="1">
        <v>103</v>
      </c>
      <c r="B104" s="1">
        <v>160</v>
      </c>
      <c r="C104" s="1" t="s">
        <v>270</v>
      </c>
      <c r="D104" s="1" t="s">
        <v>564</v>
      </c>
      <c r="E104" s="5" t="s">
        <v>61</v>
      </c>
      <c r="F104" s="1" t="s">
        <v>501</v>
      </c>
      <c r="G104" s="1">
        <v>13000</v>
      </c>
      <c r="H104" s="1">
        <v>12162</v>
      </c>
      <c r="I104" s="1">
        <v>949</v>
      </c>
      <c r="J104" s="1">
        <v>396</v>
      </c>
      <c r="K104" s="1" t="s">
        <v>556</v>
      </c>
    </row>
    <row r="105" spans="1:11" hidden="1" x14ac:dyDescent="0.3">
      <c r="A105" s="1">
        <v>104</v>
      </c>
      <c r="B105" s="1">
        <v>10153</v>
      </c>
      <c r="C105" s="1" t="s">
        <v>277</v>
      </c>
      <c r="D105" s="1" t="s">
        <v>565</v>
      </c>
      <c r="E105" s="5" t="s">
        <v>53</v>
      </c>
      <c r="F105" s="1" t="s">
        <v>501</v>
      </c>
      <c r="G105" s="1">
        <v>14000</v>
      </c>
      <c r="H105" s="1">
        <v>14000</v>
      </c>
      <c r="I105" s="1">
        <v>0</v>
      </c>
      <c r="J105" s="1">
        <v>0</v>
      </c>
      <c r="K105" s="1" t="s">
        <v>557</v>
      </c>
    </row>
    <row r="106" spans="1:11" hidden="1" x14ac:dyDescent="0.3">
      <c r="A106" s="1">
        <v>105</v>
      </c>
      <c r="B106" s="1">
        <v>10147</v>
      </c>
      <c r="C106" s="1" t="s">
        <v>271</v>
      </c>
      <c r="D106" s="1" t="s">
        <v>565</v>
      </c>
      <c r="E106" s="5" t="s">
        <v>130</v>
      </c>
      <c r="F106" s="1" t="s">
        <v>501</v>
      </c>
      <c r="G106" s="1">
        <v>11000</v>
      </c>
      <c r="H106" s="1">
        <v>9935</v>
      </c>
      <c r="I106" s="1">
        <v>0</v>
      </c>
      <c r="J106" s="1">
        <v>0</v>
      </c>
      <c r="K106" s="1" t="s">
        <v>556</v>
      </c>
    </row>
    <row r="107" spans="1:11" hidden="1" x14ac:dyDescent="0.3">
      <c r="A107" s="1">
        <v>106</v>
      </c>
      <c r="B107" s="1">
        <v>133</v>
      </c>
      <c r="C107" s="1" t="s">
        <v>272</v>
      </c>
      <c r="D107" s="1" t="s">
        <v>564</v>
      </c>
      <c r="E107" s="5" t="s">
        <v>55</v>
      </c>
      <c r="F107" s="1" t="s">
        <v>504</v>
      </c>
      <c r="G107" s="1">
        <v>13000</v>
      </c>
      <c r="H107" s="1">
        <v>12162</v>
      </c>
      <c r="I107" s="1">
        <v>949</v>
      </c>
      <c r="J107" s="1">
        <v>396</v>
      </c>
      <c r="K107" s="1" t="s">
        <v>554</v>
      </c>
    </row>
    <row r="108" spans="1:11" hidden="1" x14ac:dyDescent="0.3">
      <c r="A108" s="1">
        <v>107</v>
      </c>
      <c r="B108" s="1">
        <v>10152</v>
      </c>
      <c r="C108" s="1" t="s">
        <v>276</v>
      </c>
      <c r="D108" s="1" t="s">
        <v>565</v>
      </c>
      <c r="E108" s="5" t="s">
        <v>35</v>
      </c>
      <c r="F108" s="1" t="s">
        <v>501</v>
      </c>
      <c r="G108" s="1">
        <v>12000</v>
      </c>
      <c r="H108" s="1">
        <v>11032</v>
      </c>
      <c r="I108" s="1">
        <v>0</v>
      </c>
      <c r="J108" s="1">
        <v>0</v>
      </c>
      <c r="K108" s="1" t="s">
        <v>556</v>
      </c>
    </row>
    <row r="109" spans="1:11" hidden="1" x14ac:dyDescent="0.3">
      <c r="A109" s="1">
        <v>108</v>
      </c>
      <c r="B109" s="1">
        <v>65</v>
      </c>
      <c r="C109" s="1" t="s">
        <v>295</v>
      </c>
      <c r="D109" s="1" t="s">
        <v>564</v>
      </c>
      <c r="E109" s="5" t="s">
        <v>67</v>
      </c>
      <c r="F109" s="1" t="s">
        <v>501</v>
      </c>
      <c r="G109" s="1">
        <v>30000</v>
      </c>
      <c r="H109" s="1">
        <v>30046</v>
      </c>
      <c r="I109" s="1">
        <v>0</v>
      </c>
      <c r="J109" s="1">
        <v>0</v>
      </c>
      <c r="K109" s="1" t="s">
        <v>556</v>
      </c>
    </row>
    <row r="110" spans="1:11" hidden="1" x14ac:dyDescent="0.3">
      <c r="A110" s="1">
        <v>109</v>
      </c>
      <c r="B110" s="1">
        <v>66</v>
      </c>
      <c r="C110" s="1" t="s">
        <v>296</v>
      </c>
      <c r="D110" s="1" t="s">
        <v>564</v>
      </c>
      <c r="E110" s="5" t="s">
        <v>67</v>
      </c>
      <c r="F110" s="1" t="s">
        <v>501</v>
      </c>
      <c r="G110" s="1">
        <v>30000</v>
      </c>
      <c r="H110" s="1">
        <v>33127</v>
      </c>
      <c r="I110" s="1">
        <v>0</v>
      </c>
      <c r="J110" s="1">
        <v>0</v>
      </c>
      <c r="K110" s="1" t="s">
        <v>556</v>
      </c>
    </row>
    <row r="111" spans="1:11" hidden="1" x14ac:dyDescent="0.3">
      <c r="A111" s="1">
        <v>110</v>
      </c>
      <c r="B111" s="1">
        <v>67</v>
      </c>
      <c r="C111" s="1" t="s">
        <v>297</v>
      </c>
      <c r="D111" s="1" t="s">
        <v>564</v>
      </c>
      <c r="E111" s="5" t="s">
        <v>67</v>
      </c>
      <c r="F111" s="1" t="s">
        <v>501</v>
      </c>
      <c r="G111" s="1">
        <v>30000</v>
      </c>
      <c r="H111" s="1">
        <v>4983</v>
      </c>
      <c r="I111" s="1">
        <v>0</v>
      </c>
      <c r="J111" s="1">
        <v>0</v>
      </c>
      <c r="K111" s="1" t="s">
        <v>556</v>
      </c>
    </row>
    <row r="112" spans="1:11" hidden="1" x14ac:dyDescent="0.3">
      <c r="A112" s="1">
        <v>111</v>
      </c>
      <c r="B112" s="1">
        <v>68</v>
      </c>
      <c r="C112" s="1" t="s">
        <v>298</v>
      </c>
      <c r="D112" s="1" t="s">
        <v>564</v>
      </c>
      <c r="E112" s="5" t="s">
        <v>67</v>
      </c>
      <c r="F112" s="1" t="s">
        <v>501</v>
      </c>
      <c r="G112" s="1">
        <v>30000</v>
      </c>
      <c r="H112" s="1">
        <v>28798</v>
      </c>
      <c r="I112" s="1">
        <v>0</v>
      </c>
      <c r="J112" s="1">
        <v>0</v>
      </c>
      <c r="K112" s="1" t="s">
        <v>556</v>
      </c>
    </row>
    <row r="113" spans="1:11" hidden="1" x14ac:dyDescent="0.3">
      <c r="A113" s="1">
        <v>112</v>
      </c>
      <c r="B113" s="1">
        <v>69</v>
      </c>
      <c r="C113" s="1" t="s">
        <v>299</v>
      </c>
      <c r="D113" s="1" t="s">
        <v>564</v>
      </c>
      <c r="E113" s="5" t="s">
        <v>67</v>
      </c>
      <c r="F113" s="1" t="s">
        <v>501</v>
      </c>
      <c r="G113" s="1">
        <v>30000</v>
      </c>
      <c r="H113" s="1">
        <v>6301</v>
      </c>
      <c r="I113" s="1">
        <v>0</v>
      </c>
      <c r="J113" s="1">
        <v>0</v>
      </c>
      <c r="K113" s="1" t="s">
        <v>556</v>
      </c>
    </row>
    <row r="114" spans="1:11" hidden="1" x14ac:dyDescent="0.3">
      <c r="A114" s="1">
        <v>113</v>
      </c>
      <c r="B114" s="1">
        <v>70</v>
      </c>
      <c r="C114" s="1" t="s">
        <v>300</v>
      </c>
      <c r="D114" s="1" t="s">
        <v>564</v>
      </c>
      <c r="E114" s="5" t="s">
        <v>67</v>
      </c>
      <c r="F114" s="1" t="s">
        <v>501</v>
      </c>
      <c r="G114" s="1">
        <v>30000</v>
      </c>
      <c r="H114" s="1">
        <v>25495</v>
      </c>
      <c r="I114" s="1">
        <v>0</v>
      </c>
      <c r="J114" s="1">
        <v>0</v>
      </c>
      <c r="K114" s="1" t="s">
        <v>556</v>
      </c>
    </row>
    <row r="115" spans="1:11" hidden="1" x14ac:dyDescent="0.3">
      <c r="A115" s="1">
        <v>114</v>
      </c>
      <c r="B115" s="1">
        <v>71</v>
      </c>
      <c r="C115" s="1" t="s">
        <v>301</v>
      </c>
      <c r="D115" s="1" t="s">
        <v>564</v>
      </c>
      <c r="E115" s="5" t="s">
        <v>67</v>
      </c>
      <c r="F115" s="1" t="s">
        <v>501</v>
      </c>
      <c r="G115" s="1">
        <v>30000</v>
      </c>
      <c r="H115" s="1">
        <v>25425</v>
      </c>
      <c r="I115" s="1">
        <v>0</v>
      </c>
      <c r="J115" s="1">
        <v>0</v>
      </c>
      <c r="K115" s="1" t="s">
        <v>556</v>
      </c>
    </row>
    <row r="116" spans="1:11" hidden="1" x14ac:dyDescent="0.3">
      <c r="A116" s="1">
        <v>115</v>
      </c>
      <c r="B116" s="1">
        <v>72</v>
      </c>
      <c r="C116" s="1" t="s">
        <v>302</v>
      </c>
      <c r="D116" s="1" t="s">
        <v>564</v>
      </c>
      <c r="E116" s="5" t="s">
        <v>67</v>
      </c>
      <c r="F116" s="1" t="s">
        <v>501</v>
      </c>
      <c r="G116" s="1">
        <v>30000</v>
      </c>
      <c r="H116" s="1">
        <v>25347</v>
      </c>
      <c r="I116" s="1">
        <v>0</v>
      </c>
      <c r="J116" s="1">
        <v>0</v>
      </c>
      <c r="K116" s="1" t="s">
        <v>556</v>
      </c>
    </row>
    <row r="117" spans="1:11" hidden="1" x14ac:dyDescent="0.3">
      <c r="A117" s="1">
        <v>116</v>
      </c>
      <c r="B117" s="1">
        <v>73</v>
      </c>
      <c r="C117" s="1" t="s">
        <v>303</v>
      </c>
      <c r="D117" s="1" t="s">
        <v>564</v>
      </c>
      <c r="E117" s="5" t="s">
        <v>67</v>
      </c>
      <c r="F117" s="1" t="s">
        <v>501</v>
      </c>
      <c r="G117" s="1">
        <v>30000</v>
      </c>
      <c r="H117" s="1">
        <v>21168</v>
      </c>
      <c r="I117" s="1">
        <v>0</v>
      </c>
      <c r="J117" s="1">
        <v>0</v>
      </c>
      <c r="K117" s="1" t="s">
        <v>556</v>
      </c>
    </row>
    <row r="118" spans="1:11" hidden="1" x14ac:dyDescent="0.3">
      <c r="A118" s="1">
        <v>117</v>
      </c>
      <c r="B118" s="1">
        <v>74</v>
      </c>
      <c r="C118" s="1" t="s">
        <v>304</v>
      </c>
      <c r="D118" s="1" t="s">
        <v>564</v>
      </c>
      <c r="E118" s="5" t="s">
        <v>67</v>
      </c>
      <c r="F118" s="1" t="s">
        <v>501</v>
      </c>
      <c r="G118" s="1">
        <v>30000</v>
      </c>
      <c r="H118" s="1">
        <v>20143</v>
      </c>
      <c r="I118" s="1">
        <v>0</v>
      </c>
      <c r="J118" s="1">
        <v>0</v>
      </c>
      <c r="K118" s="1" t="s">
        <v>556</v>
      </c>
    </row>
    <row r="119" spans="1:11" hidden="1" x14ac:dyDescent="0.3">
      <c r="A119" s="1">
        <v>118</v>
      </c>
      <c r="B119" s="1">
        <v>75</v>
      </c>
      <c r="C119" s="1" t="s">
        <v>305</v>
      </c>
      <c r="D119" s="1" t="s">
        <v>564</v>
      </c>
      <c r="E119" s="5" t="s">
        <v>67</v>
      </c>
      <c r="F119" s="1" t="s">
        <v>501</v>
      </c>
      <c r="G119" s="1">
        <v>30000</v>
      </c>
      <c r="H119" s="1">
        <v>22258</v>
      </c>
      <c r="I119" s="1">
        <v>0</v>
      </c>
      <c r="J119" s="1">
        <v>0</v>
      </c>
      <c r="K119" s="1" t="s">
        <v>556</v>
      </c>
    </row>
    <row r="120" spans="1:11" hidden="1" x14ac:dyDescent="0.3">
      <c r="A120" s="1">
        <v>119</v>
      </c>
      <c r="B120" s="1">
        <v>76</v>
      </c>
      <c r="C120" s="1" t="s">
        <v>306</v>
      </c>
      <c r="D120" s="1" t="s">
        <v>564</v>
      </c>
      <c r="E120" s="5" t="s">
        <v>67</v>
      </c>
      <c r="F120" s="1" t="s">
        <v>501</v>
      </c>
      <c r="G120" s="1">
        <v>30000</v>
      </c>
      <c r="H120" s="1">
        <v>23441</v>
      </c>
      <c r="I120" s="1">
        <v>0</v>
      </c>
      <c r="J120" s="1">
        <v>0</v>
      </c>
      <c r="K120" s="1" t="s">
        <v>556</v>
      </c>
    </row>
    <row r="121" spans="1:11" hidden="1" x14ac:dyDescent="0.3">
      <c r="A121" s="1">
        <v>120</v>
      </c>
      <c r="B121" s="1">
        <v>77</v>
      </c>
      <c r="C121" s="1" t="s">
        <v>307</v>
      </c>
      <c r="D121" s="1" t="s">
        <v>564</v>
      </c>
      <c r="E121" s="5" t="s">
        <v>67</v>
      </c>
      <c r="F121" s="1" t="s">
        <v>501</v>
      </c>
      <c r="G121" s="1">
        <v>30000</v>
      </c>
      <c r="H121" s="1">
        <v>19475</v>
      </c>
      <c r="I121" s="1">
        <v>0</v>
      </c>
      <c r="J121" s="1">
        <v>0</v>
      </c>
      <c r="K121" s="1" t="s">
        <v>556</v>
      </c>
    </row>
    <row r="122" spans="1:11" hidden="1" x14ac:dyDescent="0.3">
      <c r="A122" s="1">
        <v>121</v>
      </c>
      <c r="B122" s="1">
        <v>78</v>
      </c>
      <c r="C122" s="1" t="s">
        <v>308</v>
      </c>
      <c r="D122" s="1" t="s">
        <v>564</v>
      </c>
      <c r="E122" s="5" t="s">
        <v>67</v>
      </c>
      <c r="F122" s="1" t="s">
        <v>501</v>
      </c>
      <c r="G122" s="1">
        <v>30000</v>
      </c>
      <c r="H122" s="1">
        <v>29839</v>
      </c>
      <c r="I122" s="1">
        <v>0</v>
      </c>
      <c r="J122" s="1">
        <v>0</v>
      </c>
      <c r="K122" s="1" t="s">
        <v>556</v>
      </c>
    </row>
    <row r="123" spans="1:11" hidden="1" x14ac:dyDescent="0.3">
      <c r="A123" s="1">
        <v>122</v>
      </c>
      <c r="B123" s="1">
        <v>79</v>
      </c>
      <c r="C123" s="1" t="s">
        <v>309</v>
      </c>
      <c r="D123" s="1" t="s">
        <v>564</v>
      </c>
      <c r="E123" s="5" t="s">
        <v>67</v>
      </c>
      <c r="F123" s="1" t="s">
        <v>501</v>
      </c>
      <c r="G123" s="1">
        <v>30000</v>
      </c>
      <c r="H123" s="1">
        <v>13409</v>
      </c>
      <c r="I123" s="1">
        <v>0</v>
      </c>
      <c r="J123" s="1">
        <v>0</v>
      </c>
      <c r="K123" s="1" t="s">
        <v>556</v>
      </c>
    </row>
    <row r="124" spans="1:11" hidden="1" x14ac:dyDescent="0.3">
      <c r="A124" s="1">
        <v>123</v>
      </c>
      <c r="B124" s="1">
        <v>80</v>
      </c>
      <c r="C124" s="1" t="s">
        <v>310</v>
      </c>
      <c r="D124" s="1" t="s">
        <v>564</v>
      </c>
      <c r="E124" s="5" t="s">
        <v>67</v>
      </c>
      <c r="F124" s="1" t="s">
        <v>501</v>
      </c>
      <c r="G124" s="1">
        <v>30000</v>
      </c>
      <c r="H124" s="1">
        <v>22672</v>
      </c>
      <c r="I124" s="1">
        <v>0</v>
      </c>
      <c r="J124" s="1">
        <v>0</v>
      </c>
      <c r="K124" s="1" t="s">
        <v>556</v>
      </c>
    </row>
    <row r="125" spans="1:11" hidden="1" x14ac:dyDescent="0.3">
      <c r="A125" s="1">
        <v>124</v>
      </c>
      <c r="B125" s="1">
        <v>81</v>
      </c>
      <c r="C125" s="1" t="s">
        <v>311</v>
      </c>
      <c r="D125" s="1" t="s">
        <v>564</v>
      </c>
      <c r="E125" s="5" t="s">
        <v>67</v>
      </c>
      <c r="F125" s="1" t="s">
        <v>501</v>
      </c>
      <c r="G125" s="1">
        <v>30000</v>
      </c>
      <c r="H125" s="1">
        <v>17722</v>
      </c>
      <c r="I125" s="1">
        <v>0</v>
      </c>
      <c r="J125" s="1">
        <v>0</v>
      </c>
      <c r="K125" s="1" t="s">
        <v>556</v>
      </c>
    </row>
    <row r="126" spans="1:11" hidden="1" x14ac:dyDescent="0.3">
      <c r="A126" s="1">
        <v>125</v>
      </c>
      <c r="B126" s="1">
        <v>82</v>
      </c>
      <c r="C126" s="1" t="s">
        <v>312</v>
      </c>
      <c r="D126" s="1" t="s">
        <v>564</v>
      </c>
      <c r="E126" s="5" t="s">
        <v>67</v>
      </c>
      <c r="F126" s="1" t="s">
        <v>501</v>
      </c>
      <c r="G126" s="1">
        <v>30000</v>
      </c>
      <c r="H126" s="1">
        <v>23076</v>
      </c>
      <c r="I126" s="1">
        <v>0</v>
      </c>
      <c r="J126" s="1">
        <v>0</v>
      </c>
      <c r="K126" s="1" t="s">
        <v>556</v>
      </c>
    </row>
    <row r="127" spans="1:11" hidden="1" x14ac:dyDescent="0.3">
      <c r="A127" s="1">
        <v>126</v>
      </c>
      <c r="B127" s="1">
        <v>83</v>
      </c>
      <c r="C127" s="1" t="s">
        <v>313</v>
      </c>
      <c r="D127" s="1" t="s">
        <v>564</v>
      </c>
      <c r="E127" s="5" t="s">
        <v>67</v>
      </c>
      <c r="F127" s="1" t="s">
        <v>501</v>
      </c>
      <c r="G127" s="1">
        <v>30000</v>
      </c>
      <c r="H127" s="1">
        <v>4355</v>
      </c>
      <c r="I127" s="1">
        <v>0</v>
      </c>
      <c r="J127" s="1">
        <v>0</v>
      </c>
      <c r="K127" s="1" t="s">
        <v>556</v>
      </c>
    </row>
    <row r="128" spans="1:11" hidden="1" x14ac:dyDescent="0.3">
      <c r="A128" s="1">
        <v>127</v>
      </c>
      <c r="B128" s="1">
        <v>84</v>
      </c>
      <c r="C128" s="1" t="s">
        <v>314</v>
      </c>
      <c r="D128" s="1" t="s">
        <v>564</v>
      </c>
      <c r="E128" s="5" t="s">
        <v>67</v>
      </c>
      <c r="F128" s="1" t="s">
        <v>501</v>
      </c>
      <c r="G128" s="1">
        <v>30000</v>
      </c>
      <c r="H128" s="1">
        <v>17916</v>
      </c>
      <c r="I128" s="1">
        <v>0</v>
      </c>
      <c r="J128" s="1">
        <v>0</v>
      </c>
      <c r="K128" s="1" t="s">
        <v>556</v>
      </c>
    </row>
    <row r="129" spans="1:11" hidden="1" x14ac:dyDescent="0.3">
      <c r="A129" s="1">
        <v>128</v>
      </c>
      <c r="B129" s="1">
        <v>85</v>
      </c>
      <c r="C129" s="1" t="s">
        <v>315</v>
      </c>
      <c r="D129" s="1" t="s">
        <v>564</v>
      </c>
      <c r="E129" s="5" t="s">
        <v>67</v>
      </c>
      <c r="F129" s="1" t="s">
        <v>501</v>
      </c>
      <c r="G129" s="1">
        <v>30000</v>
      </c>
      <c r="H129" s="1">
        <v>20169</v>
      </c>
      <c r="I129" s="1">
        <v>0</v>
      </c>
      <c r="J129" s="1">
        <v>0</v>
      </c>
      <c r="K129" s="1" t="s">
        <v>556</v>
      </c>
    </row>
    <row r="130" spans="1:11" hidden="1" x14ac:dyDescent="0.3">
      <c r="A130" s="1">
        <v>129</v>
      </c>
      <c r="B130" s="1">
        <v>86</v>
      </c>
      <c r="C130" s="1" t="s">
        <v>316</v>
      </c>
      <c r="D130" s="1" t="s">
        <v>564</v>
      </c>
      <c r="E130" s="5" t="s">
        <v>67</v>
      </c>
      <c r="F130" s="1" t="s">
        <v>501</v>
      </c>
      <c r="G130" s="1">
        <v>30000</v>
      </c>
      <c r="H130" s="1">
        <v>15876</v>
      </c>
      <c r="I130" s="1">
        <v>0</v>
      </c>
      <c r="J130" s="1">
        <v>0</v>
      </c>
      <c r="K130" s="1" t="s">
        <v>556</v>
      </c>
    </row>
    <row r="131" spans="1:11" hidden="1" x14ac:dyDescent="0.3">
      <c r="A131" s="1">
        <v>130</v>
      </c>
      <c r="B131" s="1">
        <v>87</v>
      </c>
      <c r="C131" s="1" t="s">
        <v>349</v>
      </c>
      <c r="D131" s="1" t="s">
        <v>564</v>
      </c>
      <c r="E131" s="5" t="s">
        <v>67</v>
      </c>
      <c r="F131" s="1" t="s">
        <v>501</v>
      </c>
      <c r="G131" s="1">
        <v>30000</v>
      </c>
      <c r="H131" s="1">
        <v>18930</v>
      </c>
      <c r="I131" s="1">
        <v>0</v>
      </c>
      <c r="J131" s="1">
        <v>0</v>
      </c>
      <c r="K131" s="1" t="s">
        <v>556</v>
      </c>
    </row>
    <row r="132" spans="1:11" hidden="1" x14ac:dyDescent="0.3">
      <c r="A132" s="1">
        <v>131</v>
      </c>
      <c r="B132" s="1">
        <v>88</v>
      </c>
      <c r="C132" s="1" t="s">
        <v>318</v>
      </c>
      <c r="D132" s="1" t="s">
        <v>564</v>
      </c>
      <c r="E132" s="5" t="s">
        <v>67</v>
      </c>
      <c r="F132" s="1" t="s">
        <v>501</v>
      </c>
      <c r="G132" s="1">
        <v>30000</v>
      </c>
      <c r="H132" s="1">
        <v>23710</v>
      </c>
      <c r="I132" s="1">
        <v>0</v>
      </c>
      <c r="J132" s="1">
        <v>0</v>
      </c>
      <c r="K132" s="1" t="s">
        <v>556</v>
      </c>
    </row>
    <row r="133" spans="1:11" hidden="1" x14ac:dyDescent="0.3">
      <c r="A133" s="1">
        <v>132</v>
      </c>
      <c r="B133" s="1">
        <v>90</v>
      </c>
      <c r="C133" s="1" t="s">
        <v>320</v>
      </c>
      <c r="D133" s="1" t="s">
        <v>564</v>
      </c>
      <c r="E133" s="5" t="s">
        <v>67</v>
      </c>
      <c r="F133" s="1" t="s">
        <v>501</v>
      </c>
      <c r="G133" s="1">
        <v>30000</v>
      </c>
      <c r="H133" s="1">
        <v>17903</v>
      </c>
      <c r="I133" s="1">
        <v>0</v>
      </c>
      <c r="J133" s="1">
        <v>0</v>
      </c>
      <c r="K133" s="1" t="s">
        <v>556</v>
      </c>
    </row>
    <row r="134" spans="1:11" hidden="1" x14ac:dyDescent="0.3">
      <c r="A134" s="1">
        <v>133</v>
      </c>
      <c r="B134" s="1">
        <v>91</v>
      </c>
      <c r="C134" s="1" t="s">
        <v>321</v>
      </c>
      <c r="D134" s="1" t="s">
        <v>564</v>
      </c>
      <c r="E134" s="5" t="s">
        <v>67</v>
      </c>
      <c r="F134" s="1" t="s">
        <v>501</v>
      </c>
      <c r="G134" s="1">
        <v>30000</v>
      </c>
      <c r="H134" s="1">
        <v>18387</v>
      </c>
      <c r="I134" s="1">
        <v>0</v>
      </c>
      <c r="J134" s="1">
        <v>0</v>
      </c>
      <c r="K134" s="1" t="s">
        <v>556</v>
      </c>
    </row>
    <row r="135" spans="1:11" hidden="1" x14ac:dyDescent="0.3">
      <c r="A135" s="1">
        <v>134</v>
      </c>
      <c r="B135" s="1">
        <v>93</v>
      </c>
      <c r="C135" s="1" t="s">
        <v>323</v>
      </c>
      <c r="D135" s="1" t="s">
        <v>564</v>
      </c>
      <c r="E135" s="5" t="s">
        <v>67</v>
      </c>
      <c r="F135" s="1" t="s">
        <v>501</v>
      </c>
      <c r="G135" s="1">
        <v>30000</v>
      </c>
      <c r="H135" s="1">
        <v>17266</v>
      </c>
      <c r="I135" s="1">
        <v>0</v>
      </c>
      <c r="J135" s="1">
        <v>0</v>
      </c>
      <c r="K135" s="1" t="s">
        <v>556</v>
      </c>
    </row>
    <row r="136" spans="1:11" hidden="1" x14ac:dyDescent="0.3">
      <c r="A136" s="1">
        <v>135</v>
      </c>
      <c r="B136" s="1">
        <v>94</v>
      </c>
      <c r="C136" s="1" t="s">
        <v>324</v>
      </c>
      <c r="D136" s="1" t="s">
        <v>564</v>
      </c>
      <c r="E136" s="5" t="s">
        <v>67</v>
      </c>
      <c r="F136" s="1" t="s">
        <v>501</v>
      </c>
      <c r="G136" s="1">
        <v>30000</v>
      </c>
      <c r="H136" s="1">
        <v>14032</v>
      </c>
      <c r="I136" s="1">
        <v>0</v>
      </c>
      <c r="J136" s="1">
        <v>0</v>
      </c>
      <c r="K136" s="1" t="s">
        <v>556</v>
      </c>
    </row>
    <row r="137" spans="1:11" hidden="1" x14ac:dyDescent="0.3">
      <c r="A137" s="1">
        <v>136</v>
      </c>
      <c r="B137" s="1">
        <v>99</v>
      </c>
      <c r="C137" s="1" t="s">
        <v>329</v>
      </c>
      <c r="D137" s="1" t="s">
        <v>564</v>
      </c>
      <c r="E137" s="5" t="s">
        <v>67</v>
      </c>
      <c r="F137" s="1" t="s">
        <v>501</v>
      </c>
      <c r="G137" s="1">
        <v>30000</v>
      </c>
      <c r="H137" s="1">
        <v>1529</v>
      </c>
      <c r="I137" s="1">
        <v>0</v>
      </c>
      <c r="J137" s="1">
        <v>0</v>
      </c>
      <c r="K137" s="1" t="s">
        <v>556</v>
      </c>
    </row>
    <row r="138" spans="1:11" hidden="1" x14ac:dyDescent="0.3">
      <c r="A138" s="1">
        <v>137</v>
      </c>
      <c r="B138" s="1">
        <v>151</v>
      </c>
      <c r="C138" s="1" t="s">
        <v>330</v>
      </c>
      <c r="D138" s="1" t="s">
        <v>568</v>
      </c>
      <c r="E138" s="5" t="s">
        <v>331</v>
      </c>
      <c r="F138" s="1" t="s">
        <v>501</v>
      </c>
      <c r="G138" s="1">
        <v>16000</v>
      </c>
      <c r="H138" s="1">
        <v>15742</v>
      </c>
      <c r="I138" s="1">
        <v>1228</v>
      </c>
      <c r="J138" s="1">
        <v>512</v>
      </c>
      <c r="K138" s="1" t="s">
        <v>556</v>
      </c>
    </row>
    <row r="139" spans="1:11" hidden="1" x14ac:dyDescent="0.3">
      <c r="A139" s="1">
        <v>138</v>
      </c>
      <c r="B139" s="1">
        <v>138</v>
      </c>
      <c r="C139" s="1" t="s">
        <v>332</v>
      </c>
      <c r="D139" s="1" t="s">
        <v>564</v>
      </c>
      <c r="E139" s="5" t="s">
        <v>10</v>
      </c>
      <c r="F139" s="1" t="s">
        <v>506</v>
      </c>
      <c r="G139" s="1">
        <v>25000</v>
      </c>
      <c r="H139" s="1">
        <v>22984</v>
      </c>
      <c r="I139" s="1">
        <v>1793</v>
      </c>
      <c r="J139" s="1">
        <v>0</v>
      </c>
      <c r="K139" s="1" t="s">
        <v>555</v>
      </c>
    </row>
    <row r="140" spans="1:11" hidden="1" x14ac:dyDescent="0.3">
      <c r="A140" s="1">
        <v>139</v>
      </c>
      <c r="B140" s="1">
        <v>10160</v>
      </c>
      <c r="C140" s="1" t="s">
        <v>290</v>
      </c>
      <c r="D140" s="1" t="s">
        <v>565</v>
      </c>
      <c r="E140" s="5" t="s">
        <v>35</v>
      </c>
      <c r="F140" s="1" t="s">
        <v>501</v>
      </c>
      <c r="G140" s="1">
        <v>13000</v>
      </c>
      <c r="H140" s="1">
        <v>13000</v>
      </c>
      <c r="I140" s="1">
        <v>0</v>
      </c>
      <c r="J140" s="1">
        <v>0</v>
      </c>
      <c r="K140" s="1" t="s">
        <v>556</v>
      </c>
    </row>
    <row r="141" spans="1:11" hidden="1" x14ac:dyDescent="0.3">
      <c r="A141" s="1">
        <v>140</v>
      </c>
      <c r="B141" s="1">
        <v>63</v>
      </c>
      <c r="C141" s="1" t="s">
        <v>284</v>
      </c>
      <c r="D141" s="1" t="s">
        <v>564</v>
      </c>
      <c r="E141" s="5" t="s">
        <v>208</v>
      </c>
      <c r="F141" s="1" t="s">
        <v>499</v>
      </c>
      <c r="G141" s="1">
        <v>43000</v>
      </c>
      <c r="H141" s="1">
        <v>39532</v>
      </c>
      <c r="I141" s="1">
        <v>1950</v>
      </c>
      <c r="J141" s="1">
        <v>0</v>
      </c>
      <c r="K141" s="1" t="s">
        <v>552</v>
      </c>
    </row>
    <row r="142" spans="1:11" hidden="1" x14ac:dyDescent="0.3">
      <c r="A142" s="1">
        <v>141</v>
      </c>
      <c r="B142" s="1">
        <v>10162</v>
      </c>
      <c r="C142" s="1" t="s">
        <v>151</v>
      </c>
      <c r="D142" s="1" t="s">
        <v>565</v>
      </c>
      <c r="E142" s="5" t="s">
        <v>35</v>
      </c>
      <c r="F142" s="1" t="s">
        <v>501</v>
      </c>
      <c r="G142" s="1">
        <v>13500</v>
      </c>
      <c r="H142" s="1">
        <v>10887</v>
      </c>
      <c r="I142" s="1">
        <v>0</v>
      </c>
      <c r="J142" s="1">
        <v>0</v>
      </c>
      <c r="K142" s="1" t="s">
        <v>556</v>
      </c>
    </row>
    <row r="143" spans="1:11" hidden="1" x14ac:dyDescent="0.3">
      <c r="A143" s="1">
        <v>142</v>
      </c>
      <c r="B143" s="1">
        <v>10163</v>
      </c>
      <c r="C143" s="1" t="s">
        <v>292</v>
      </c>
      <c r="D143" s="1" t="s">
        <v>565</v>
      </c>
      <c r="E143" s="5" t="s">
        <v>35</v>
      </c>
      <c r="F143" s="1" t="s">
        <v>501</v>
      </c>
      <c r="G143" s="1">
        <v>12500</v>
      </c>
      <c r="H143" s="1">
        <v>6048</v>
      </c>
      <c r="I143" s="1">
        <v>0</v>
      </c>
      <c r="J143" s="1">
        <v>0</v>
      </c>
      <c r="K143" s="1" t="s">
        <v>556</v>
      </c>
    </row>
    <row r="144" spans="1:11" hidden="1" x14ac:dyDescent="0.3">
      <c r="A144" s="1">
        <v>143</v>
      </c>
      <c r="B144" s="1">
        <v>10166</v>
      </c>
      <c r="C144" s="1" t="s">
        <v>294</v>
      </c>
      <c r="D144" s="1" t="s">
        <v>565</v>
      </c>
      <c r="E144" s="5" t="s">
        <v>35</v>
      </c>
      <c r="F144" s="1" t="s">
        <v>501</v>
      </c>
      <c r="G144" s="1">
        <v>12500</v>
      </c>
      <c r="H144" s="1">
        <v>17560</v>
      </c>
      <c r="I144" s="1">
        <v>0</v>
      </c>
      <c r="J144" s="1">
        <v>0</v>
      </c>
      <c r="K144" s="1" t="s">
        <v>556</v>
      </c>
    </row>
    <row r="145" spans="1:11" hidden="1" x14ac:dyDescent="0.3">
      <c r="A145" s="1">
        <v>144</v>
      </c>
      <c r="B145" s="1">
        <v>5</v>
      </c>
      <c r="C145" s="1" t="s">
        <v>15</v>
      </c>
      <c r="D145" s="1" t="s">
        <v>564</v>
      </c>
      <c r="E145" s="5" t="s">
        <v>10</v>
      </c>
      <c r="F145" s="1" t="s">
        <v>504</v>
      </c>
      <c r="G145" s="1">
        <v>41950</v>
      </c>
      <c r="H145" s="1">
        <v>41950</v>
      </c>
      <c r="I145" s="1">
        <v>1950</v>
      </c>
      <c r="J145" s="1">
        <v>0</v>
      </c>
      <c r="K145" s="1" t="s">
        <v>553</v>
      </c>
    </row>
    <row r="146" spans="1:11" hidden="1" x14ac:dyDescent="0.3">
      <c r="A146" s="1">
        <v>145</v>
      </c>
      <c r="B146" s="1">
        <v>114</v>
      </c>
      <c r="C146" s="1" t="s">
        <v>348</v>
      </c>
      <c r="D146" s="1" t="s">
        <v>564</v>
      </c>
      <c r="E146" s="5" t="s">
        <v>67</v>
      </c>
      <c r="F146" s="1" t="s">
        <v>501</v>
      </c>
      <c r="G146" s="1">
        <v>30000</v>
      </c>
      <c r="H146" s="1">
        <v>21497</v>
      </c>
      <c r="I146" s="1">
        <v>0</v>
      </c>
      <c r="J146" s="1">
        <v>0</v>
      </c>
      <c r="K146" s="1" t="s">
        <v>556</v>
      </c>
    </row>
    <row r="147" spans="1:11" hidden="1" x14ac:dyDescent="0.3">
      <c r="A147" s="1">
        <v>146</v>
      </c>
      <c r="B147" s="1">
        <v>134</v>
      </c>
      <c r="C147" s="1" t="s">
        <v>336</v>
      </c>
      <c r="D147" s="1" t="s">
        <v>564</v>
      </c>
      <c r="E147" s="5" t="s">
        <v>10</v>
      </c>
      <c r="F147" s="1" t="s">
        <v>504</v>
      </c>
      <c r="G147" s="1">
        <v>19500</v>
      </c>
      <c r="H147" s="1">
        <v>16984</v>
      </c>
      <c r="I147" s="1">
        <v>1325</v>
      </c>
      <c r="J147" s="1">
        <v>552</v>
      </c>
      <c r="K147" s="1" t="s">
        <v>554</v>
      </c>
    </row>
    <row r="148" spans="1:11" hidden="1" x14ac:dyDescent="0.3">
      <c r="A148" s="1">
        <v>147</v>
      </c>
      <c r="B148" s="1">
        <v>10172</v>
      </c>
      <c r="C148" s="1" t="s">
        <v>337</v>
      </c>
      <c r="D148" s="1" t="s">
        <v>565</v>
      </c>
      <c r="E148" s="5" t="s">
        <v>35</v>
      </c>
      <c r="F148" s="1" t="s">
        <v>501</v>
      </c>
      <c r="G148" s="1">
        <v>12500</v>
      </c>
      <c r="H148" s="1">
        <v>9475</v>
      </c>
      <c r="I148" s="1">
        <v>0</v>
      </c>
      <c r="J148" s="1">
        <v>0</v>
      </c>
      <c r="K148" s="1" t="s">
        <v>556</v>
      </c>
    </row>
    <row r="149" spans="1:11" hidden="1" x14ac:dyDescent="0.3">
      <c r="A149" s="1">
        <v>148</v>
      </c>
      <c r="B149" s="1">
        <v>115</v>
      </c>
      <c r="C149" s="1" t="s">
        <v>344</v>
      </c>
      <c r="D149" s="1" t="s">
        <v>564</v>
      </c>
      <c r="E149" s="5" t="s">
        <v>10</v>
      </c>
      <c r="F149" s="1" t="s">
        <v>499</v>
      </c>
      <c r="G149" s="1">
        <v>18000</v>
      </c>
      <c r="H149" s="1">
        <v>17420</v>
      </c>
      <c r="I149" s="1">
        <v>1359</v>
      </c>
      <c r="J149" s="1">
        <v>567</v>
      </c>
      <c r="K149" s="1" t="s">
        <v>553</v>
      </c>
    </row>
    <row r="150" spans="1:11" hidden="1" x14ac:dyDescent="0.3">
      <c r="A150" s="1">
        <v>149</v>
      </c>
      <c r="B150" s="1">
        <v>135</v>
      </c>
      <c r="C150" s="1" t="s">
        <v>340</v>
      </c>
      <c r="D150" s="1" t="s">
        <v>564</v>
      </c>
      <c r="E150" s="5" t="s">
        <v>55</v>
      </c>
      <c r="F150" s="1" t="s">
        <v>504</v>
      </c>
      <c r="G150" s="1">
        <v>13500</v>
      </c>
      <c r="H150" s="1">
        <v>13065</v>
      </c>
      <c r="I150" s="1">
        <v>1019</v>
      </c>
      <c r="J150" s="1">
        <v>425</v>
      </c>
      <c r="K150" s="1" t="s">
        <v>554</v>
      </c>
    </row>
    <row r="151" spans="1:11" hidden="1" x14ac:dyDescent="0.3">
      <c r="A151" s="1">
        <v>150</v>
      </c>
      <c r="B151" s="1">
        <v>10180</v>
      </c>
      <c r="C151" s="1" t="s">
        <v>345</v>
      </c>
      <c r="D151" s="1" t="s">
        <v>565</v>
      </c>
      <c r="E151" s="5" t="s">
        <v>53</v>
      </c>
      <c r="F151" s="1" t="s">
        <v>506</v>
      </c>
      <c r="G151" s="1">
        <v>14000</v>
      </c>
      <c r="H151" s="1">
        <v>3162</v>
      </c>
      <c r="I151" s="1">
        <v>0</v>
      </c>
      <c r="J151" s="1">
        <v>0</v>
      </c>
      <c r="K151" s="1" t="s">
        <v>557</v>
      </c>
    </row>
    <row r="152" spans="1:11" hidden="1" x14ac:dyDescent="0.3">
      <c r="A152" s="1">
        <v>151</v>
      </c>
      <c r="B152" s="1">
        <v>100</v>
      </c>
      <c r="C152" s="1" t="s">
        <v>334</v>
      </c>
      <c r="D152" s="1" t="s">
        <v>564</v>
      </c>
      <c r="E152" s="5" t="s">
        <v>558</v>
      </c>
      <c r="F152" s="1" t="s">
        <v>499</v>
      </c>
      <c r="G152" s="1">
        <v>42095</v>
      </c>
      <c r="H152" s="1">
        <v>40737</v>
      </c>
      <c r="I152" s="1">
        <v>1950</v>
      </c>
      <c r="J152" s="1">
        <v>0</v>
      </c>
      <c r="K152" s="1" t="s">
        <v>552</v>
      </c>
    </row>
    <row r="153" spans="1:11" hidden="1" x14ac:dyDescent="0.3">
      <c r="A153" s="1">
        <v>152</v>
      </c>
      <c r="B153" s="1">
        <v>161</v>
      </c>
      <c r="C153" s="1" t="s">
        <v>342</v>
      </c>
      <c r="D153" s="1" t="s">
        <v>568</v>
      </c>
      <c r="E153" s="5" t="s">
        <v>61</v>
      </c>
      <c r="F153" s="1" t="s">
        <v>501</v>
      </c>
      <c r="G153" s="1">
        <v>12500</v>
      </c>
      <c r="H153" s="1">
        <v>11693</v>
      </c>
      <c r="I153" s="1">
        <v>912</v>
      </c>
      <c r="J153" s="1">
        <v>381</v>
      </c>
      <c r="K153" s="1" t="s">
        <v>556</v>
      </c>
    </row>
    <row r="154" spans="1:11" hidden="1" x14ac:dyDescent="0.3">
      <c r="A154" s="1">
        <v>153</v>
      </c>
      <c r="B154" s="1">
        <v>10178</v>
      </c>
      <c r="C154" s="1" t="s">
        <v>343</v>
      </c>
      <c r="D154" s="1" t="s">
        <v>565</v>
      </c>
      <c r="E154" s="5" t="s">
        <v>61</v>
      </c>
      <c r="F154" s="1" t="s">
        <v>501</v>
      </c>
      <c r="G154" s="1">
        <v>12500</v>
      </c>
      <c r="H154" s="1">
        <v>12500</v>
      </c>
      <c r="I154" s="1">
        <v>0</v>
      </c>
      <c r="J154" s="1">
        <v>0</v>
      </c>
      <c r="K154" s="1" t="s">
        <v>556</v>
      </c>
    </row>
    <row r="155" spans="1:11" hidden="1" x14ac:dyDescent="0.3">
      <c r="A155" s="1">
        <v>154</v>
      </c>
      <c r="B155" s="1">
        <v>200</v>
      </c>
      <c r="C155" s="1" t="s">
        <v>372</v>
      </c>
      <c r="D155" s="1" t="s">
        <v>564</v>
      </c>
      <c r="E155" s="5" t="s">
        <v>67</v>
      </c>
      <c r="F155" s="1" t="s">
        <v>501</v>
      </c>
      <c r="G155" s="1">
        <v>30000</v>
      </c>
      <c r="H155" s="1">
        <v>24783</v>
      </c>
      <c r="I155" s="1">
        <v>0</v>
      </c>
      <c r="J155" s="1">
        <v>0</v>
      </c>
      <c r="K155" s="1" t="s">
        <v>556</v>
      </c>
    </row>
    <row r="156" spans="1:11" hidden="1" x14ac:dyDescent="0.3">
      <c r="A156" s="1">
        <v>155</v>
      </c>
      <c r="B156" s="1">
        <v>201</v>
      </c>
      <c r="C156" s="1" t="s">
        <v>373</v>
      </c>
      <c r="D156" s="1" t="s">
        <v>564</v>
      </c>
      <c r="E156" s="5" t="s">
        <v>67</v>
      </c>
      <c r="F156" s="1" t="s">
        <v>501</v>
      </c>
      <c r="G156" s="1">
        <v>30000</v>
      </c>
      <c r="H156" s="1">
        <v>17133</v>
      </c>
      <c r="I156" s="1">
        <v>0</v>
      </c>
      <c r="J156" s="1">
        <v>0</v>
      </c>
      <c r="K156" s="1" t="s">
        <v>556</v>
      </c>
    </row>
    <row r="157" spans="1:11" hidden="1" x14ac:dyDescent="0.3">
      <c r="A157" s="1">
        <v>156</v>
      </c>
      <c r="B157" s="1">
        <v>10199</v>
      </c>
      <c r="C157" s="1" t="s">
        <v>376</v>
      </c>
      <c r="D157" s="1" t="s">
        <v>565</v>
      </c>
      <c r="E157" s="5" t="s">
        <v>88</v>
      </c>
      <c r="F157" s="1" t="s">
        <v>547</v>
      </c>
      <c r="G157" s="1">
        <v>8000</v>
      </c>
      <c r="H157" s="1">
        <v>8258</v>
      </c>
      <c r="I157" s="1">
        <v>0</v>
      </c>
      <c r="J157" s="1">
        <v>0</v>
      </c>
      <c r="K157" s="1" t="s">
        <v>557</v>
      </c>
    </row>
    <row r="158" spans="1:11" hidden="1" x14ac:dyDescent="0.3">
      <c r="A158" s="1">
        <v>157</v>
      </c>
      <c r="B158" s="1">
        <v>136</v>
      </c>
      <c r="C158" s="1" t="s">
        <v>359</v>
      </c>
      <c r="D158" s="1" t="s">
        <v>564</v>
      </c>
      <c r="E158" s="5" t="s">
        <v>55</v>
      </c>
      <c r="F158" s="1" t="s">
        <v>504</v>
      </c>
      <c r="G158" s="1">
        <v>13000</v>
      </c>
      <c r="H158" s="1">
        <v>11323</v>
      </c>
      <c r="I158" s="1">
        <v>883</v>
      </c>
      <c r="J158" s="1">
        <v>368</v>
      </c>
      <c r="K158" s="1" t="s">
        <v>554</v>
      </c>
    </row>
    <row r="159" spans="1:11" hidden="1" x14ac:dyDescent="0.3">
      <c r="A159" s="1">
        <v>158</v>
      </c>
      <c r="B159" s="1">
        <v>10182</v>
      </c>
      <c r="C159" s="1" t="s">
        <v>350</v>
      </c>
      <c r="D159" s="1" t="s">
        <v>565</v>
      </c>
      <c r="E159" s="5" t="s">
        <v>53</v>
      </c>
      <c r="F159" s="1" t="s">
        <v>504</v>
      </c>
      <c r="G159" s="1">
        <v>13000</v>
      </c>
      <c r="H159" s="1">
        <v>9435</v>
      </c>
      <c r="I159" s="1">
        <v>0</v>
      </c>
      <c r="J159" s="1">
        <v>0</v>
      </c>
      <c r="K159" s="1" t="s">
        <v>557</v>
      </c>
    </row>
    <row r="160" spans="1:11" hidden="1" x14ac:dyDescent="0.3">
      <c r="A160" s="1">
        <v>159</v>
      </c>
      <c r="B160" s="1">
        <v>104</v>
      </c>
      <c r="C160" s="1" t="s">
        <v>377</v>
      </c>
      <c r="D160" s="1" t="s">
        <v>564</v>
      </c>
      <c r="E160" s="5" t="s">
        <v>545</v>
      </c>
      <c r="F160" s="1" t="s">
        <v>499</v>
      </c>
      <c r="G160" s="1">
        <v>24952</v>
      </c>
      <c r="H160" s="1">
        <v>18513</v>
      </c>
      <c r="I160" s="1">
        <v>1444</v>
      </c>
      <c r="J160" s="1">
        <v>0</v>
      </c>
      <c r="K160" s="1" t="s">
        <v>552</v>
      </c>
    </row>
    <row r="161" spans="1:11" hidden="1" x14ac:dyDescent="0.3">
      <c r="A161" s="1">
        <v>160</v>
      </c>
      <c r="B161" s="1">
        <v>158</v>
      </c>
      <c r="C161" s="1" t="s">
        <v>385</v>
      </c>
      <c r="D161" s="1" t="s">
        <v>568</v>
      </c>
      <c r="E161" s="5" t="s">
        <v>35</v>
      </c>
      <c r="F161" s="1" t="s">
        <v>501</v>
      </c>
      <c r="G161" s="1">
        <v>11500</v>
      </c>
      <c r="H161" s="1">
        <v>19717</v>
      </c>
      <c r="I161" s="1">
        <v>897</v>
      </c>
      <c r="J161" s="1">
        <v>641</v>
      </c>
      <c r="K161" s="1" t="s">
        <v>556</v>
      </c>
    </row>
    <row r="162" spans="1:11" hidden="1" x14ac:dyDescent="0.3">
      <c r="A162" s="1">
        <v>161</v>
      </c>
      <c r="B162" s="1">
        <v>107</v>
      </c>
      <c r="C162" s="1" t="s">
        <v>360</v>
      </c>
      <c r="D162" s="1" t="s">
        <v>565</v>
      </c>
      <c r="E162" s="5" t="s">
        <v>361</v>
      </c>
      <c r="F162" s="1" t="s">
        <v>547</v>
      </c>
      <c r="G162" s="1">
        <v>15500</v>
      </c>
      <c r="H162" s="1">
        <v>15500</v>
      </c>
      <c r="I162" s="1">
        <v>0</v>
      </c>
      <c r="J162" s="1">
        <v>0</v>
      </c>
      <c r="K162" s="1" t="s">
        <v>557</v>
      </c>
    </row>
    <row r="163" spans="1:11" hidden="1" x14ac:dyDescent="0.3">
      <c r="A163" s="1">
        <v>162</v>
      </c>
      <c r="B163" s="1">
        <v>10184</v>
      </c>
      <c r="C163" s="1" t="s">
        <v>352</v>
      </c>
      <c r="D163" s="1" t="s">
        <v>565</v>
      </c>
      <c r="E163" s="5" t="s">
        <v>35</v>
      </c>
      <c r="F163" s="1" t="s">
        <v>501</v>
      </c>
      <c r="G163" s="1">
        <v>11500</v>
      </c>
      <c r="H163" s="1">
        <v>10202</v>
      </c>
      <c r="I163" s="1">
        <v>0</v>
      </c>
      <c r="J163" s="1">
        <v>0</v>
      </c>
      <c r="K163" s="1" t="s">
        <v>556</v>
      </c>
    </row>
    <row r="164" spans="1:11" hidden="1" x14ac:dyDescent="0.3">
      <c r="A164" s="1">
        <v>163</v>
      </c>
      <c r="B164" s="1">
        <v>10185</v>
      </c>
      <c r="C164" s="1" t="s">
        <v>353</v>
      </c>
      <c r="D164" s="1" t="s">
        <v>565</v>
      </c>
      <c r="E164" s="5" t="s">
        <v>35</v>
      </c>
      <c r="F164" s="1" t="s">
        <v>501</v>
      </c>
      <c r="G164" s="1">
        <v>13500</v>
      </c>
      <c r="H164" s="1">
        <v>13500</v>
      </c>
      <c r="I164" s="1">
        <v>0</v>
      </c>
      <c r="J164" s="1">
        <v>0</v>
      </c>
      <c r="K164" s="1" t="s">
        <v>556</v>
      </c>
    </row>
    <row r="165" spans="1:11" hidden="1" x14ac:dyDescent="0.3">
      <c r="A165" s="1">
        <v>164</v>
      </c>
      <c r="B165" s="1">
        <v>108</v>
      </c>
      <c r="C165" s="1" t="s">
        <v>371</v>
      </c>
      <c r="D165" s="1" t="s">
        <v>564</v>
      </c>
      <c r="E165" s="5" t="s">
        <v>47</v>
      </c>
      <c r="F165" s="1" t="s">
        <v>496</v>
      </c>
      <c r="G165" s="1">
        <v>50000</v>
      </c>
      <c r="H165" s="1">
        <v>50000</v>
      </c>
      <c r="I165" s="1">
        <v>1950</v>
      </c>
      <c r="J165" s="1">
        <v>0</v>
      </c>
      <c r="K165" s="1" t="s">
        <v>552</v>
      </c>
    </row>
    <row r="166" spans="1:11" hidden="1" x14ac:dyDescent="0.3">
      <c r="A166" s="1">
        <v>165</v>
      </c>
      <c r="B166" s="1">
        <v>10186</v>
      </c>
      <c r="C166" s="1" t="s">
        <v>354</v>
      </c>
      <c r="D166" s="1" t="s">
        <v>565</v>
      </c>
      <c r="E166" s="5" t="s">
        <v>35</v>
      </c>
      <c r="F166" s="1" t="s">
        <v>501</v>
      </c>
      <c r="G166" s="1">
        <v>12000</v>
      </c>
      <c r="H166" s="1">
        <v>10065</v>
      </c>
      <c r="I166" s="1">
        <v>0</v>
      </c>
      <c r="J166" s="1">
        <v>0</v>
      </c>
      <c r="K166" s="1" t="s">
        <v>556</v>
      </c>
    </row>
    <row r="167" spans="1:11" hidden="1" x14ac:dyDescent="0.3">
      <c r="A167" s="1">
        <v>166</v>
      </c>
      <c r="B167" s="1">
        <v>10187</v>
      </c>
      <c r="C167" s="1" t="s">
        <v>43</v>
      </c>
      <c r="D167" s="1" t="s">
        <v>565</v>
      </c>
      <c r="E167" s="5" t="s">
        <v>35</v>
      </c>
      <c r="F167" s="1" t="s">
        <v>501</v>
      </c>
      <c r="G167" s="1">
        <v>12000</v>
      </c>
      <c r="H167" s="1">
        <v>10452</v>
      </c>
      <c r="I167" s="1">
        <v>0</v>
      </c>
      <c r="J167" s="1">
        <v>0</v>
      </c>
      <c r="K167" s="1" t="s">
        <v>556</v>
      </c>
    </row>
    <row r="168" spans="1:11" hidden="1" x14ac:dyDescent="0.3">
      <c r="A168" s="1">
        <v>167</v>
      </c>
      <c r="B168" s="1">
        <v>175</v>
      </c>
      <c r="C168" s="1" t="s">
        <v>355</v>
      </c>
      <c r="D168" s="1" t="s">
        <v>568</v>
      </c>
      <c r="E168" s="5" t="s">
        <v>35</v>
      </c>
      <c r="F168" s="1" t="s">
        <v>501</v>
      </c>
      <c r="G168" s="1">
        <v>12500</v>
      </c>
      <c r="H168" s="1">
        <v>10816</v>
      </c>
      <c r="I168" s="1">
        <v>818</v>
      </c>
      <c r="J168" s="1">
        <v>352</v>
      </c>
      <c r="K168" s="1" t="s">
        <v>556</v>
      </c>
    </row>
    <row r="169" spans="1:11" hidden="1" x14ac:dyDescent="0.3">
      <c r="A169" s="1">
        <v>168</v>
      </c>
      <c r="B169" s="1">
        <v>166</v>
      </c>
      <c r="C169" s="1" t="s">
        <v>179</v>
      </c>
      <c r="D169" s="1" t="s">
        <v>568</v>
      </c>
      <c r="E169" s="5" t="s">
        <v>35</v>
      </c>
      <c r="F169" s="1" t="s">
        <v>501</v>
      </c>
      <c r="G169" s="1">
        <v>13500</v>
      </c>
      <c r="H169" s="1">
        <v>13065</v>
      </c>
      <c r="I169" s="1">
        <v>1019</v>
      </c>
      <c r="J169" s="1">
        <v>425</v>
      </c>
      <c r="K169" s="1" t="s">
        <v>556</v>
      </c>
    </row>
    <row r="170" spans="1:11" hidden="1" x14ac:dyDescent="0.3">
      <c r="A170" s="1">
        <v>169</v>
      </c>
      <c r="B170" s="1">
        <v>109</v>
      </c>
      <c r="C170" s="1" t="s">
        <v>362</v>
      </c>
      <c r="D170" s="1" t="s">
        <v>564</v>
      </c>
      <c r="E170" s="5" t="s">
        <v>76</v>
      </c>
      <c r="F170" s="1" t="s">
        <v>496</v>
      </c>
      <c r="G170" s="1">
        <v>15000</v>
      </c>
      <c r="H170" s="1">
        <v>14516</v>
      </c>
      <c r="I170" s="1">
        <v>1132</v>
      </c>
      <c r="J170" s="1">
        <v>472</v>
      </c>
      <c r="K170" s="1" t="s">
        <v>553</v>
      </c>
    </row>
    <row r="171" spans="1:11" hidden="1" x14ac:dyDescent="0.3">
      <c r="A171" s="1">
        <v>170</v>
      </c>
      <c r="B171" s="1">
        <v>10189</v>
      </c>
      <c r="C171" s="1" t="s">
        <v>356</v>
      </c>
      <c r="D171" s="1" t="s">
        <v>565</v>
      </c>
      <c r="E171" s="5" t="s">
        <v>35</v>
      </c>
      <c r="F171" s="1" t="s">
        <v>501</v>
      </c>
      <c r="G171" s="1">
        <v>13000</v>
      </c>
      <c r="H171" s="1">
        <v>12580</v>
      </c>
      <c r="I171" s="1">
        <v>0</v>
      </c>
      <c r="J171" s="1">
        <v>0</v>
      </c>
      <c r="K171" s="1" t="s">
        <v>556</v>
      </c>
    </row>
    <row r="172" spans="1:11" hidden="1" x14ac:dyDescent="0.3">
      <c r="A172" s="1">
        <v>171</v>
      </c>
      <c r="B172" s="1">
        <v>10190</v>
      </c>
      <c r="C172" s="1" t="s">
        <v>357</v>
      </c>
      <c r="D172" s="1" t="s">
        <v>565</v>
      </c>
      <c r="E172" s="5" t="s">
        <v>61</v>
      </c>
      <c r="F172" s="1" t="s">
        <v>501</v>
      </c>
      <c r="G172" s="1">
        <v>12500</v>
      </c>
      <c r="H172" s="1">
        <v>0</v>
      </c>
      <c r="I172" s="1">
        <v>0</v>
      </c>
      <c r="J172" s="1">
        <v>0</v>
      </c>
      <c r="K172" s="1" t="s">
        <v>556</v>
      </c>
    </row>
    <row r="173" spans="1:11" hidden="1" x14ac:dyDescent="0.3">
      <c r="A173" s="1">
        <v>172</v>
      </c>
      <c r="B173" s="1">
        <v>10191</v>
      </c>
      <c r="C173" s="1" t="s">
        <v>358</v>
      </c>
      <c r="D173" s="1" t="s">
        <v>565</v>
      </c>
      <c r="E173" s="5" t="s">
        <v>53</v>
      </c>
      <c r="F173" s="1" t="s">
        <v>504</v>
      </c>
      <c r="G173" s="1">
        <v>11500</v>
      </c>
      <c r="H173" s="1">
        <v>6677</v>
      </c>
      <c r="I173" s="1">
        <v>0</v>
      </c>
      <c r="J173" s="1">
        <v>0</v>
      </c>
      <c r="K173" s="1" t="s">
        <v>557</v>
      </c>
    </row>
    <row r="174" spans="1:11" hidden="1" x14ac:dyDescent="0.3">
      <c r="A174" s="1">
        <v>173</v>
      </c>
      <c r="B174" s="1">
        <v>10196</v>
      </c>
      <c r="C174" s="1" t="s">
        <v>368</v>
      </c>
      <c r="D174" s="1" t="s">
        <v>565</v>
      </c>
      <c r="E174" s="5" t="s">
        <v>35</v>
      </c>
      <c r="F174" s="1" t="s">
        <v>501</v>
      </c>
      <c r="G174" s="1">
        <v>12500</v>
      </c>
      <c r="H174" s="1">
        <v>11693</v>
      </c>
      <c r="I174" s="1">
        <v>0</v>
      </c>
      <c r="J174" s="1">
        <v>0</v>
      </c>
      <c r="K174" s="1" t="s">
        <v>556</v>
      </c>
    </row>
    <row r="175" spans="1:11" hidden="1" x14ac:dyDescent="0.3">
      <c r="A175" s="1">
        <v>174</v>
      </c>
      <c r="B175" s="1">
        <v>10195</v>
      </c>
      <c r="C175" s="1" t="s">
        <v>358</v>
      </c>
      <c r="D175" s="1" t="s">
        <v>565</v>
      </c>
      <c r="E175" s="5" t="s">
        <v>35</v>
      </c>
      <c r="F175" s="1" t="s">
        <v>504</v>
      </c>
      <c r="G175" s="1">
        <v>12000</v>
      </c>
      <c r="H175" s="1">
        <v>2710</v>
      </c>
      <c r="I175" s="1">
        <v>0</v>
      </c>
      <c r="J175" s="1">
        <v>0</v>
      </c>
      <c r="K175" s="1" t="s">
        <v>556</v>
      </c>
    </row>
    <row r="176" spans="1:11" hidden="1" x14ac:dyDescent="0.3">
      <c r="A176" s="1">
        <v>175</v>
      </c>
      <c r="B176" s="1">
        <v>110</v>
      </c>
      <c r="C176" s="1" t="s">
        <v>369</v>
      </c>
      <c r="D176" s="1" t="s">
        <v>564</v>
      </c>
      <c r="E176" s="5" t="s">
        <v>10</v>
      </c>
      <c r="F176" s="1" t="s">
        <v>499</v>
      </c>
      <c r="G176" s="1">
        <v>23170</v>
      </c>
      <c r="H176" s="1">
        <v>23170</v>
      </c>
      <c r="I176" s="1">
        <v>1807</v>
      </c>
      <c r="J176" s="1">
        <v>0</v>
      </c>
      <c r="K176" s="1" t="s">
        <v>553</v>
      </c>
    </row>
    <row r="177" spans="1:11" hidden="1" x14ac:dyDescent="0.3">
      <c r="A177" s="1">
        <v>176</v>
      </c>
      <c r="B177" s="1">
        <v>10192</v>
      </c>
      <c r="C177" s="1" t="s">
        <v>238</v>
      </c>
      <c r="D177" s="1" t="s">
        <v>565</v>
      </c>
      <c r="E177" s="5" t="s">
        <v>35</v>
      </c>
      <c r="F177" s="1" t="s">
        <v>501</v>
      </c>
      <c r="G177" s="1">
        <v>10500</v>
      </c>
      <c r="H177" s="1">
        <v>9484</v>
      </c>
      <c r="I177" s="1">
        <v>0</v>
      </c>
      <c r="J177" s="1">
        <v>0</v>
      </c>
      <c r="K177" s="1" t="s">
        <v>556</v>
      </c>
    </row>
    <row r="178" spans="1:11" hidden="1" x14ac:dyDescent="0.3">
      <c r="A178" s="1">
        <v>177</v>
      </c>
      <c r="B178" s="1">
        <v>139</v>
      </c>
      <c r="C178" s="1" t="s">
        <v>386</v>
      </c>
      <c r="D178" s="1" t="s">
        <v>564</v>
      </c>
      <c r="E178" s="5" t="s">
        <v>12</v>
      </c>
      <c r="F178" s="1" t="s">
        <v>501</v>
      </c>
      <c r="G178" s="1">
        <v>25000</v>
      </c>
      <c r="H178" s="1">
        <v>22984</v>
      </c>
      <c r="I178" s="1">
        <v>1793</v>
      </c>
      <c r="J178" s="1">
        <v>0</v>
      </c>
      <c r="K178" s="1" t="s">
        <v>556</v>
      </c>
    </row>
    <row r="179" spans="1:11" hidden="1" x14ac:dyDescent="0.3">
      <c r="A179" s="1">
        <v>178</v>
      </c>
      <c r="B179" s="1">
        <v>193</v>
      </c>
      <c r="C179" s="1" t="s">
        <v>430</v>
      </c>
      <c r="D179" s="1" t="s">
        <v>564</v>
      </c>
      <c r="E179" s="5" t="s">
        <v>67</v>
      </c>
      <c r="F179" s="1" t="s">
        <v>501</v>
      </c>
      <c r="G179" s="1">
        <v>30000</v>
      </c>
      <c r="H179" s="1">
        <v>1329</v>
      </c>
      <c r="I179" s="1">
        <v>0</v>
      </c>
      <c r="J179" s="1">
        <v>0</v>
      </c>
      <c r="K179" s="1" t="s">
        <v>556</v>
      </c>
    </row>
    <row r="180" spans="1:11" hidden="1" x14ac:dyDescent="0.3">
      <c r="A180" s="1">
        <v>179</v>
      </c>
      <c r="B180" s="1">
        <v>194</v>
      </c>
      <c r="C180" s="1" t="s">
        <v>431</v>
      </c>
      <c r="D180" s="1" t="s">
        <v>564</v>
      </c>
      <c r="E180" s="5" t="s">
        <v>67</v>
      </c>
      <c r="F180" s="1" t="s">
        <v>501</v>
      </c>
      <c r="G180" s="1">
        <v>30000</v>
      </c>
      <c r="H180" s="1">
        <v>1198</v>
      </c>
      <c r="I180" s="1">
        <v>0</v>
      </c>
      <c r="J180" s="1">
        <v>0</v>
      </c>
      <c r="K180" s="1" t="s">
        <v>556</v>
      </c>
    </row>
    <row r="181" spans="1:11" hidden="1" x14ac:dyDescent="0.3">
      <c r="A181" s="1">
        <v>180</v>
      </c>
      <c r="B181" s="1">
        <v>10224</v>
      </c>
      <c r="C181" s="1" t="s">
        <v>410</v>
      </c>
      <c r="D181" s="1" t="s">
        <v>565</v>
      </c>
      <c r="E181" s="5" t="s">
        <v>35</v>
      </c>
      <c r="F181" s="1" t="s">
        <v>501</v>
      </c>
      <c r="G181" s="1">
        <v>11500</v>
      </c>
      <c r="H181" s="1">
        <v>7048</v>
      </c>
      <c r="I181" s="1">
        <v>0</v>
      </c>
      <c r="J181" s="1">
        <v>0</v>
      </c>
      <c r="K181" s="1" t="s">
        <v>556</v>
      </c>
    </row>
    <row r="182" spans="1:11" hidden="1" x14ac:dyDescent="0.3">
      <c r="A182" s="1">
        <v>181</v>
      </c>
      <c r="B182" s="1">
        <v>119</v>
      </c>
      <c r="C182" s="1" t="s">
        <v>382</v>
      </c>
      <c r="D182" s="1" t="s">
        <v>564</v>
      </c>
      <c r="E182" s="5" t="s">
        <v>67</v>
      </c>
      <c r="F182" s="1" t="s">
        <v>501</v>
      </c>
      <c r="G182" s="1">
        <v>30000</v>
      </c>
      <c r="H182" s="1">
        <v>23155</v>
      </c>
      <c r="I182" s="1">
        <v>0</v>
      </c>
      <c r="J182" s="1">
        <v>0</v>
      </c>
      <c r="K182" s="1" t="s">
        <v>556</v>
      </c>
    </row>
    <row r="183" spans="1:11" hidden="1" x14ac:dyDescent="0.3">
      <c r="A183" s="1">
        <v>182</v>
      </c>
      <c r="B183" s="1">
        <v>171</v>
      </c>
      <c r="C183" s="1" t="s">
        <v>412</v>
      </c>
      <c r="D183" s="1" t="s">
        <v>564</v>
      </c>
      <c r="E183" s="5" t="s">
        <v>61</v>
      </c>
      <c r="F183" s="1" t="s">
        <v>501</v>
      </c>
      <c r="G183" s="1">
        <v>12000</v>
      </c>
      <c r="H183" s="1">
        <v>11613</v>
      </c>
      <c r="I183" s="1">
        <v>906</v>
      </c>
      <c r="J183" s="1">
        <v>378</v>
      </c>
      <c r="K183" s="1" t="s">
        <v>556</v>
      </c>
    </row>
    <row r="184" spans="1:11" hidden="1" x14ac:dyDescent="0.3">
      <c r="A184" s="1">
        <v>183</v>
      </c>
      <c r="B184" s="1">
        <v>10217</v>
      </c>
      <c r="C184" s="1" t="s">
        <v>402</v>
      </c>
      <c r="D184" s="1" t="s">
        <v>565</v>
      </c>
      <c r="E184" s="5" t="s">
        <v>53</v>
      </c>
      <c r="F184" s="1" t="s">
        <v>501</v>
      </c>
      <c r="G184" s="1">
        <v>12000</v>
      </c>
      <c r="H184" s="1">
        <v>11225</v>
      </c>
      <c r="I184" s="1">
        <v>0</v>
      </c>
      <c r="J184" s="1">
        <v>0</v>
      </c>
      <c r="K184" s="1" t="s">
        <v>557</v>
      </c>
    </row>
    <row r="185" spans="1:11" hidden="1" x14ac:dyDescent="0.3">
      <c r="A185" s="1">
        <v>184</v>
      </c>
      <c r="B185" s="1">
        <v>10215</v>
      </c>
      <c r="C185" s="1" t="s">
        <v>400</v>
      </c>
      <c r="D185" s="1" t="s">
        <v>565</v>
      </c>
      <c r="E185" s="5" t="s">
        <v>53</v>
      </c>
      <c r="F185" s="1" t="s">
        <v>501</v>
      </c>
      <c r="G185" s="1">
        <v>10000</v>
      </c>
      <c r="H185" s="1">
        <v>0</v>
      </c>
      <c r="I185" s="1">
        <v>0</v>
      </c>
      <c r="J185" s="1">
        <v>0</v>
      </c>
      <c r="K185" s="1" t="s">
        <v>557</v>
      </c>
    </row>
    <row r="186" spans="1:11" hidden="1" x14ac:dyDescent="0.3">
      <c r="A186" s="1">
        <v>185</v>
      </c>
      <c r="B186" s="1">
        <v>10237</v>
      </c>
      <c r="C186" s="1" t="s">
        <v>426</v>
      </c>
      <c r="D186" s="1" t="s">
        <v>565</v>
      </c>
      <c r="E186" s="5" t="s">
        <v>35</v>
      </c>
      <c r="F186" s="1" t="s">
        <v>501</v>
      </c>
      <c r="G186" s="1">
        <v>11000</v>
      </c>
      <c r="H186" s="1">
        <v>9935</v>
      </c>
      <c r="I186" s="1">
        <v>0</v>
      </c>
      <c r="J186" s="1">
        <v>0</v>
      </c>
      <c r="K186" s="1" t="s">
        <v>556</v>
      </c>
    </row>
    <row r="187" spans="1:11" hidden="1" x14ac:dyDescent="0.3">
      <c r="A187" s="1">
        <v>186</v>
      </c>
      <c r="B187" s="1">
        <v>157</v>
      </c>
      <c r="C187" s="1" t="s">
        <v>393</v>
      </c>
      <c r="D187" s="1" t="s">
        <v>564</v>
      </c>
      <c r="E187" s="5" t="s">
        <v>35</v>
      </c>
      <c r="F187" s="1" t="s">
        <v>501</v>
      </c>
      <c r="G187" s="1">
        <v>13500</v>
      </c>
      <c r="H187" s="1">
        <v>12193</v>
      </c>
      <c r="I187" s="1">
        <v>951</v>
      </c>
      <c r="J187" s="1">
        <v>397</v>
      </c>
      <c r="K187" s="1" t="s">
        <v>556</v>
      </c>
    </row>
    <row r="188" spans="1:11" hidden="1" x14ac:dyDescent="0.3">
      <c r="A188" s="1">
        <v>187</v>
      </c>
      <c r="B188" s="1">
        <v>10218</v>
      </c>
      <c r="C188" s="1" t="s">
        <v>403</v>
      </c>
      <c r="D188" s="1" t="s">
        <v>565</v>
      </c>
      <c r="E188" s="5" t="s">
        <v>53</v>
      </c>
      <c r="F188" s="1" t="s">
        <v>501</v>
      </c>
      <c r="G188" s="1">
        <v>12500</v>
      </c>
      <c r="H188" s="1">
        <v>8871</v>
      </c>
      <c r="I188" s="1">
        <v>0</v>
      </c>
      <c r="J188" s="1">
        <v>0</v>
      </c>
      <c r="K188" s="1" t="s">
        <v>557</v>
      </c>
    </row>
    <row r="189" spans="1:11" hidden="1" x14ac:dyDescent="0.3">
      <c r="A189" s="1">
        <v>188</v>
      </c>
      <c r="B189" s="1">
        <v>159</v>
      </c>
      <c r="C189" s="1" t="s">
        <v>389</v>
      </c>
      <c r="D189" s="1" t="s">
        <v>564</v>
      </c>
      <c r="E189" s="5" t="s">
        <v>53</v>
      </c>
      <c r="F189" s="1" t="s">
        <v>501</v>
      </c>
      <c r="G189" s="1">
        <v>11500</v>
      </c>
      <c r="H189" s="1">
        <v>11129</v>
      </c>
      <c r="I189" s="1">
        <v>868</v>
      </c>
      <c r="J189" s="1">
        <v>362</v>
      </c>
      <c r="K189" s="1" t="s">
        <v>557</v>
      </c>
    </row>
    <row r="190" spans="1:11" hidden="1" x14ac:dyDescent="0.3">
      <c r="A190" s="1">
        <v>189</v>
      </c>
      <c r="B190" s="1">
        <v>162</v>
      </c>
      <c r="C190" s="1" t="s">
        <v>392</v>
      </c>
      <c r="D190" s="1" t="s">
        <v>564</v>
      </c>
      <c r="E190" s="5" t="s">
        <v>130</v>
      </c>
      <c r="F190" s="1" t="s">
        <v>501</v>
      </c>
      <c r="G190" s="1">
        <v>10500</v>
      </c>
      <c r="H190" s="1">
        <v>9484</v>
      </c>
      <c r="I190" s="1">
        <v>740</v>
      </c>
      <c r="J190" s="1">
        <v>309</v>
      </c>
      <c r="K190" s="1" t="s">
        <v>556</v>
      </c>
    </row>
    <row r="191" spans="1:11" hidden="1" x14ac:dyDescent="0.3">
      <c r="A191" s="1">
        <v>190</v>
      </c>
      <c r="B191" s="1">
        <v>10214</v>
      </c>
      <c r="C191" s="1" t="s">
        <v>399</v>
      </c>
      <c r="D191" s="1" t="s">
        <v>565</v>
      </c>
      <c r="E191" s="5" t="s">
        <v>35</v>
      </c>
      <c r="F191" s="1" t="s">
        <v>501</v>
      </c>
      <c r="G191" s="1">
        <v>12000</v>
      </c>
      <c r="H191" s="1">
        <v>10645</v>
      </c>
      <c r="I191" s="1">
        <v>0</v>
      </c>
      <c r="J191" s="1">
        <v>0</v>
      </c>
      <c r="K191" s="1" t="s">
        <v>556</v>
      </c>
    </row>
    <row r="192" spans="1:11" hidden="1" x14ac:dyDescent="0.3">
      <c r="A192" s="1">
        <v>191</v>
      </c>
      <c r="B192" s="1">
        <v>10213</v>
      </c>
      <c r="C192" s="1" t="s">
        <v>398</v>
      </c>
      <c r="D192" s="1" t="s">
        <v>565</v>
      </c>
      <c r="E192" s="5" t="s">
        <v>53</v>
      </c>
      <c r="F192" s="1" t="s">
        <v>501</v>
      </c>
      <c r="G192" s="1">
        <v>11500</v>
      </c>
      <c r="H192" s="1">
        <v>9645</v>
      </c>
      <c r="I192" s="1">
        <v>0</v>
      </c>
      <c r="J192" s="1">
        <v>0</v>
      </c>
      <c r="K192" s="1" t="s">
        <v>557</v>
      </c>
    </row>
    <row r="193" spans="1:11" hidden="1" x14ac:dyDescent="0.3">
      <c r="A193" s="1">
        <v>192</v>
      </c>
      <c r="B193" s="1">
        <v>169</v>
      </c>
      <c r="C193" s="1" t="s">
        <v>283</v>
      </c>
      <c r="D193" s="1" t="s">
        <v>564</v>
      </c>
      <c r="E193" s="5" t="s">
        <v>53</v>
      </c>
      <c r="F193" s="1" t="s">
        <v>501</v>
      </c>
      <c r="G193" s="1">
        <v>11500</v>
      </c>
      <c r="H193" s="1">
        <v>11129</v>
      </c>
      <c r="I193" s="1">
        <v>868</v>
      </c>
      <c r="J193" s="1">
        <v>362</v>
      </c>
      <c r="K193" s="1" t="s">
        <v>557</v>
      </c>
    </row>
    <row r="194" spans="1:11" hidden="1" x14ac:dyDescent="0.3">
      <c r="A194" s="1">
        <v>193</v>
      </c>
      <c r="B194" s="1">
        <v>10221</v>
      </c>
      <c r="C194" s="1" t="s">
        <v>407</v>
      </c>
      <c r="D194" s="1" t="s">
        <v>565</v>
      </c>
      <c r="E194" s="5" t="s">
        <v>53</v>
      </c>
      <c r="F194" s="1" t="s">
        <v>501</v>
      </c>
      <c r="G194" s="1">
        <v>11000</v>
      </c>
      <c r="H194" s="1">
        <v>8162</v>
      </c>
      <c r="I194" s="1">
        <v>0</v>
      </c>
      <c r="J194" s="1">
        <v>0</v>
      </c>
      <c r="K194" s="1" t="s">
        <v>557</v>
      </c>
    </row>
    <row r="195" spans="1:11" hidden="1" x14ac:dyDescent="0.3">
      <c r="A195" s="1">
        <v>194</v>
      </c>
      <c r="B195" s="1">
        <v>10223</v>
      </c>
      <c r="C195" s="1" t="s">
        <v>409</v>
      </c>
      <c r="D195" s="1" t="s">
        <v>565</v>
      </c>
      <c r="E195" s="5" t="s">
        <v>61</v>
      </c>
      <c r="F195" s="1" t="s">
        <v>501</v>
      </c>
      <c r="G195" s="1">
        <v>12500</v>
      </c>
      <c r="H195" s="1">
        <v>8468</v>
      </c>
      <c r="I195" s="1">
        <v>0</v>
      </c>
      <c r="J195" s="1">
        <v>0</v>
      </c>
      <c r="K195" s="1" t="s">
        <v>556</v>
      </c>
    </row>
    <row r="196" spans="1:11" hidden="1" x14ac:dyDescent="0.3">
      <c r="A196" s="1">
        <v>195</v>
      </c>
      <c r="B196" s="1">
        <v>111</v>
      </c>
      <c r="C196" s="1" t="s">
        <v>427</v>
      </c>
      <c r="D196" s="1" t="s">
        <v>564</v>
      </c>
      <c r="E196" s="5" t="s">
        <v>58</v>
      </c>
      <c r="F196" s="1" t="s">
        <v>501</v>
      </c>
      <c r="G196" s="1">
        <v>38095</v>
      </c>
      <c r="H196" s="1">
        <v>13518</v>
      </c>
      <c r="I196" s="1">
        <v>1054</v>
      </c>
      <c r="J196" s="1">
        <v>0</v>
      </c>
      <c r="K196" s="1" t="s">
        <v>553</v>
      </c>
    </row>
    <row r="197" spans="1:11" hidden="1" x14ac:dyDescent="0.3">
      <c r="A197" s="1">
        <v>196</v>
      </c>
      <c r="B197" s="1">
        <v>10220</v>
      </c>
      <c r="C197" s="1" t="s">
        <v>406</v>
      </c>
      <c r="D197" s="1" t="s">
        <v>565</v>
      </c>
      <c r="E197" s="5" t="s">
        <v>405</v>
      </c>
      <c r="F197" s="1" t="s">
        <v>501</v>
      </c>
      <c r="G197" s="1">
        <v>11500</v>
      </c>
      <c r="H197" s="1">
        <v>11129</v>
      </c>
      <c r="I197" s="1">
        <v>0</v>
      </c>
      <c r="J197" s="1">
        <v>0</v>
      </c>
      <c r="K197" s="1" t="s">
        <v>556</v>
      </c>
    </row>
    <row r="198" spans="1:11" hidden="1" x14ac:dyDescent="0.3">
      <c r="A198" s="1">
        <v>197</v>
      </c>
      <c r="B198" s="1">
        <v>10235</v>
      </c>
      <c r="C198" s="1" t="s">
        <v>421</v>
      </c>
      <c r="D198" s="1" t="s">
        <v>565</v>
      </c>
      <c r="E198" s="5" t="s">
        <v>35</v>
      </c>
      <c r="F198" s="1" t="s">
        <v>501</v>
      </c>
      <c r="G198" s="1">
        <v>12500</v>
      </c>
      <c r="H198" s="1">
        <v>11492</v>
      </c>
      <c r="I198" s="1">
        <v>0</v>
      </c>
      <c r="J198" s="1">
        <v>0</v>
      </c>
      <c r="K198" s="1" t="s">
        <v>556</v>
      </c>
    </row>
    <row r="199" spans="1:11" hidden="1" x14ac:dyDescent="0.3">
      <c r="A199" s="1">
        <v>198</v>
      </c>
      <c r="B199" s="1">
        <v>113</v>
      </c>
      <c r="C199" s="1" t="s">
        <v>424</v>
      </c>
      <c r="D199" s="1" t="s">
        <v>564</v>
      </c>
      <c r="E199" s="5" t="s">
        <v>10</v>
      </c>
      <c r="F199" s="1" t="s">
        <v>504</v>
      </c>
      <c r="G199" s="1">
        <v>26800</v>
      </c>
      <c r="H199" s="1">
        <v>7348</v>
      </c>
      <c r="I199" s="1">
        <v>573</v>
      </c>
      <c r="J199" s="1">
        <v>0</v>
      </c>
      <c r="K199" s="1" t="s">
        <v>553</v>
      </c>
    </row>
    <row r="200" spans="1:11" hidden="1" x14ac:dyDescent="0.3">
      <c r="A200" s="1">
        <v>199</v>
      </c>
      <c r="B200" s="1">
        <v>163</v>
      </c>
      <c r="C200" s="1" t="s">
        <v>388</v>
      </c>
      <c r="D200" s="1" t="s">
        <v>564</v>
      </c>
      <c r="E200" s="5" t="s">
        <v>35</v>
      </c>
      <c r="F200" s="1" t="s">
        <v>501</v>
      </c>
      <c r="G200" s="1">
        <v>11000</v>
      </c>
      <c r="H200" s="1">
        <v>10645</v>
      </c>
      <c r="I200" s="1">
        <v>830</v>
      </c>
      <c r="J200" s="1">
        <v>346</v>
      </c>
      <c r="K200" s="1" t="s">
        <v>556</v>
      </c>
    </row>
    <row r="201" spans="1:11" hidden="1" x14ac:dyDescent="0.3">
      <c r="A201" s="1">
        <v>200</v>
      </c>
      <c r="B201" s="1">
        <v>164</v>
      </c>
      <c r="C201" s="1" t="s">
        <v>387</v>
      </c>
      <c r="D201" s="1" t="s">
        <v>564</v>
      </c>
      <c r="E201" s="5" t="s">
        <v>35</v>
      </c>
      <c r="F201" s="1" t="s">
        <v>501</v>
      </c>
      <c r="G201" s="1">
        <v>11000</v>
      </c>
      <c r="H201" s="1">
        <v>10290</v>
      </c>
      <c r="I201" s="1">
        <v>803</v>
      </c>
      <c r="J201" s="1">
        <v>335</v>
      </c>
      <c r="K201" s="1" t="s">
        <v>556</v>
      </c>
    </row>
    <row r="202" spans="1:11" hidden="1" x14ac:dyDescent="0.3">
      <c r="A202" s="1">
        <v>201</v>
      </c>
      <c r="B202" s="1">
        <v>165</v>
      </c>
      <c r="C202" s="1" t="s">
        <v>391</v>
      </c>
      <c r="D202" s="1" t="s">
        <v>564</v>
      </c>
      <c r="E202" s="5" t="s">
        <v>35</v>
      </c>
      <c r="F202" s="1" t="s">
        <v>501</v>
      </c>
      <c r="G202" s="1">
        <v>11000</v>
      </c>
      <c r="H202" s="1">
        <v>9580</v>
      </c>
      <c r="I202" s="1">
        <v>747</v>
      </c>
      <c r="J202" s="1">
        <v>312</v>
      </c>
      <c r="K202" s="1" t="s">
        <v>556</v>
      </c>
    </row>
    <row r="203" spans="1:11" hidden="1" x14ac:dyDescent="0.3">
      <c r="A203" s="1">
        <v>202</v>
      </c>
      <c r="B203" s="1">
        <v>10225</v>
      </c>
      <c r="C203" s="1" t="s">
        <v>411</v>
      </c>
      <c r="D203" s="1" t="s">
        <v>565</v>
      </c>
      <c r="E203" s="5" t="s">
        <v>35</v>
      </c>
      <c r="F203" s="1" t="s">
        <v>501</v>
      </c>
      <c r="G203" s="1">
        <v>10500</v>
      </c>
      <c r="H203" s="1">
        <v>6775</v>
      </c>
      <c r="I203" s="1">
        <v>0</v>
      </c>
      <c r="J203" s="1">
        <v>0</v>
      </c>
      <c r="K203" s="1" t="s">
        <v>556</v>
      </c>
    </row>
    <row r="204" spans="1:11" hidden="1" x14ac:dyDescent="0.3">
      <c r="A204" s="1">
        <v>203</v>
      </c>
      <c r="B204" s="1">
        <v>10230</v>
      </c>
      <c r="C204" s="1" t="s">
        <v>416</v>
      </c>
      <c r="D204" s="1" t="s">
        <v>565</v>
      </c>
      <c r="E204" s="5" t="s">
        <v>405</v>
      </c>
      <c r="F204" s="1" t="s">
        <v>501</v>
      </c>
      <c r="G204" s="1">
        <v>12500</v>
      </c>
      <c r="H204" s="1">
        <v>12500</v>
      </c>
      <c r="I204" s="1">
        <v>0</v>
      </c>
      <c r="J204" s="1">
        <v>0</v>
      </c>
      <c r="K204" s="1" t="s">
        <v>556</v>
      </c>
    </row>
    <row r="205" spans="1:11" hidden="1" x14ac:dyDescent="0.3">
      <c r="A205" s="1">
        <v>204</v>
      </c>
      <c r="B205" s="1">
        <v>116</v>
      </c>
      <c r="C205" s="1" t="s">
        <v>379</v>
      </c>
      <c r="D205" s="1" t="s">
        <v>564</v>
      </c>
      <c r="E205" s="5" t="s">
        <v>67</v>
      </c>
      <c r="F205" s="1" t="s">
        <v>501</v>
      </c>
      <c r="G205" s="1">
        <v>30000</v>
      </c>
      <c r="H205" s="1">
        <v>12206</v>
      </c>
      <c r="I205" s="1">
        <v>0</v>
      </c>
      <c r="J205" s="1">
        <v>0</v>
      </c>
      <c r="K205" s="1" t="s">
        <v>556</v>
      </c>
    </row>
    <row r="206" spans="1:11" hidden="1" x14ac:dyDescent="0.3">
      <c r="A206" s="1">
        <v>205</v>
      </c>
      <c r="B206" s="1">
        <v>117</v>
      </c>
      <c r="C206" s="1" t="s">
        <v>380</v>
      </c>
      <c r="D206" s="1" t="s">
        <v>564</v>
      </c>
      <c r="E206" s="5" t="s">
        <v>67</v>
      </c>
      <c r="F206" s="1" t="s">
        <v>501</v>
      </c>
      <c r="G206" s="1">
        <v>30000</v>
      </c>
      <c r="H206" s="1">
        <v>10426</v>
      </c>
      <c r="I206" s="1">
        <v>0</v>
      </c>
      <c r="J206" s="1">
        <v>0</v>
      </c>
      <c r="K206" s="1" t="s">
        <v>556</v>
      </c>
    </row>
    <row r="207" spans="1:11" hidden="1" x14ac:dyDescent="0.3">
      <c r="A207" s="1">
        <v>206</v>
      </c>
      <c r="B207" s="1">
        <v>10222</v>
      </c>
      <c r="C207" s="1" t="s">
        <v>408</v>
      </c>
      <c r="D207" s="1" t="s">
        <v>565</v>
      </c>
      <c r="E207" s="5" t="s">
        <v>53</v>
      </c>
      <c r="F207" s="1" t="s">
        <v>501</v>
      </c>
      <c r="G207" s="1">
        <v>11500</v>
      </c>
      <c r="H207" s="1">
        <v>8532</v>
      </c>
      <c r="I207" s="1">
        <v>0</v>
      </c>
      <c r="J207" s="1">
        <v>0</v>
      </c>
      <c r="K207" s="1" t="s">
        <v>557</v>
      </c>
    </row>
    <row r="208" spans="1:11" hidden="1" x14ac:dyDescent="0.3">
      <c r="A208" s="1">
        <v>207</v>
      </c>
      <c r="B208" s="1">
        <v>10229</v>
      </c>
      <c r="C208" s="1" t="s">
        <v>415</v>
      </c>
      <c r="D208" s="1" t="s">
        <v>565</v>
      </c>
      <c r="E208" s="5" t="s">
        <v>130</v>
      </c>
      <c r="F208" s="1" t="s">
        <v>501</v>
      </c>
      <c r="G208" s="1">
        <v>10000</v>
      </c>
      <c r="H208" s="1">
        <v>9677</v>
      </c>
      <c r="I208" s="1">
        <v>0</v>
      </c>
      <c r="J208" s="1">
        <v>0</v>
      </c>
      <c r="K208" s="1" t="s">
        <v>556</v>
      </c>
    </row>
    <row r="209" spans="1:11" hidden="1" x14ac:dyDescent="0.3">
      <c r="A209" s="1">
        <v>208</v>
      </c>
      <c r="B209" s="1">
        <v>112</v>
      </c>
      <c r="C209" s="1" t="s">
        <v>422</v>
      </c>
      <c r="D209" s="1" t="s">
        <v>564</v>
      </c>
      <c r="E209" s="5" t="s">
        <v>423</v>
      </c>
      <c r="F209" s="1" t="s">
        <v>501</v>
      </c>
      <c r="G209" s="1">
        <v>50000</v>
      </c>
      <c r="H209" s="1">
        <v>50000</v>
      </c>
      <c r="I209" s="1">
        <v>1950</v>
      </c>
      <c r="J209" s="1">
        <v>0</v>
      </c>
      <c r="K209" s="1" t="s">
        <v>552</v>
      </c>
    </row>
    <row r="210" spans="1:11" hidden="1" x14ac:dyDescent="0.3">
      <c r="A210" s="1">
        <v>232</v>
      </c>
      <c r="B210" s="1">
        <v>173</v>
      </c>
      <c r="C210" s="1" t="s">
        <v>442</v>
      </c>
      <c r="D210" s="1" t="s">
        <v>564</v>
      </c>
      <c r="E210" s="5" t="s">
        <v>35</v>
      </c>
      <c r="F210" s="1" t="s">
        <v>501</v>
      </c>
      <c r="G210" s="1">
        <v>12000</v>
      </c>
      <c r="H210" s="1">
        <v>11225</v>
      </c>
      <c r="I210" s="1">
        <v>0</v>
      </c>
      <c r="J210" s="1">
        <v>0</v>
      </c>
      <c r="K210" s="1" t="s">
        <v>556</v>
      </c>
    </row>
    <row r="211" spans="1:11" hidden="1" x14ac:dyDescent="0.3">
      <c r="A211" s="1">
        <v>210</v>
      </c>
      <c r="B211" s="1">
        <v>118</v>
      </c>
      <c r="C211" s="1" t="s">
        <v>381</v>
      </c>
      <c r="D211" s="1" t="s">
        <v>564</v>
      </c>
      <c r="E211" s="5" t="s">
        <v>67</v>
      </c>
      <c r="F211" s="1" t="s">
        <v>501</v>
      </c>
      <c r="G211" s="1">
        <v>30000</v>
      </c>
      <c r="H211" s="1">
        <v>1237</v>
      </c>
      <c r="I211" s="1">
        <v>0</v>
      </c>
      <c r="J211" s="1">
        <v>0</v>
      </c>
      <c r="K211" s="1" t="s">
        <v>556</v>
      </c>
    </row>
    <row r="212" spans="1:11" hidden="1" x14ac:dyDescent="0.3">
      <c r="A212" s="1">
        <v>211</v>
      </c>
      <c r="B212" s="1">
        <v>145</v>
      </c>
      <c r="C212" s="1" t="s">
        <v>394</v>
      </c>
      <c r="D212" s="1" t="s">
        <v>564</v>
      </c>
      <c r="E212" s="5" t="s">
        <v>67</v>
      </c>
      <c r="F212" s="1" t="s">
        <v>501</v>
      </c>
      <c r="G212" s="1">
        <v>30000</v>
      </c>
      <c r="H212" s="1">
        <v>15987</v>
      </c>
      <c r="I212" s="1">
        <v>0</v>
      </c>
      <c r="J212" s="1">
        <v>0</v>
      </c>
      <c r="K212" s="1" t="s">
        <v>556</v>
      </c>
    </row>
    <row r="213" spans="1:11" hidden="1" x14ac:dyDescent="0.3">
      <c r="A213" s="1">
        <v>212</v>
      </c>
      <c r="B213" s="1">
        <v>10228</v>
      </c>
      <c r="C213" s="1" t="s">
        <v>414</v>
      </c>
      <c r="D213" s="1" t="s">
        <v>565</v>
      </c>
      <c r="E213" s="5" t="s">
        <v>35</v>
      </c>
      <c r="F213" s="1" t="s">
        <v>501</v>
      </c>
      <c r="G213" s="1">
        <v>12500</v>
      </c>
      <c r="H213" s="1">
        <v>11290</v>
      </c>
      <c r="I213" s="1">
        <v>0</v>
      </c>
      <c r="J213" s="1">
        <v>0</v>
      </c>
      <c r="K213" s="1" t="s">
        <v>556</v>
      </c>
    </row>
    <row r="214" spans="1:11" hidden="1" x14ac:dyDescent="0.3">
      <c r="A214" s="1">
        <v>213</v>
      </c>
      <c r="B214" s="1">
        <v>120</v>
      </c>
      <c r="C214" s="1" t="s">
        <v>383</v>
      </c>
      <c r="D214" s="1" t="s">
        <v>564</v>
      </c>
      <c r="E214" s="5" t="s">
        <v>67</v>
      </c>
      <c r="F214" s="1" t="s">
        <v>501</v>
      </c>
      <c r="G214" s="1">
        <v>30000</v>
      </c>
      <c r="H214" s="1">
        <v>16250</v>
      </c>
      <c r="I214" s="1">
        <v>0</v>
      </c>
      <c r="J214" s="1">
        <v>0</v>
      </c>
      <c r="K214" s="1" t="s">
        <v>556</v>
      </c>
    </row>
    <row r="215" spans="1:11" hidden="1" x14ac:dyDescent="0.3">
      <c r="A215" s="1">
        <v>214</v>
      </c>
      <c r="B215" s="1">
        <v>10227</v>
      </c>
      <c r="C215" s="1" t="s">
        <v>413</v>
      </c>
      <c r="D215" s="1" t="s">
        <v>565</v>
      </c>
      <c r="E215" s="5" t="s">
        <v>53</v>
      </c>
      <c r="F215" s="1" t="s">
        <v>501</v>
      </c>
      <c r="G215" s="1">
        <v>11000</v>
      </c>
      <c r="H215" s="1">
        <v>9225</v>
      </c>
      <c r="I215" s="1">
        <v>0</v>
      </c>
      <c r="J215" s="1">
        <v>0</v>
      </c>
      <c r="K215" s="1" t="s">
        <v>557</v>
      </c>
    </row>
    <row r="216" spans="1:11" hidden="1" x14ac:dyDescent="0.3">
      <c r="A216" s="1">
        <v>215</v>
      </c>
      <c r="B216" s="1">
        <v>140</v>
      </c>
      <c r="C216" s="1" t="s">
        <v>396</v>
      </c>
      <c r="D216" s="1" t="s">
        <v>564</v>
      </c>
      <c r="E216" s="5" t="s">
        <v>67</v>
      </c>
      <c r="F216" s="1" t="s">
        <v>501</v>
      </c>
      <c r="G216" s="1">
        <v>30000</v>
      </c>
      <c r="H216" s="1">
        <v>15165</v>
      </c>
      <c r="I216" s="1">
        <v>0</v>
      </c>
      <c r="J216" s="1">
        <v>0</v>
      </c>
      <c r="K216" s="1" t="s">
        <v>556</v>
      </c>
    </row>
    <row r="217" spans="1:11" hidden="1" x14ac:dyDescent="0.3">
      <c r="A217" s="1">
        <v>216</v>
      </c>
      <c r="B217" s="1">
        <v>168</v>
      </c>
      <c r="C217" s="1" t="s">
        <v>395</v>
      </c>
      <c r="D217" s="1" t="s">
        <v>564</v>
      </c>
      <c r="E217" s="5" t="s">
        <v>53</v>
      </c>
      <c r="F217" s="1" t="s">
        <v>501</v>
      </c>
      <c r="G217" s="1">
        <v>11000</v>
      </c>
      <c r="H217" s="1">
        <v>9935</v>
      </c>
      <c r="I217" s="1">
        <v>775</v>
      </c>
      <c r="J217" s="1">
        <v>323</v>
      </c>
      <c r="K217" s="1" t="s">
        <v>557</v>
      </c>
    </row>
    <row r="218" spans="1:11" hidden="1" x14ac:dyDescent="0.3">
      <c r="A218" s="1">
        <v>217</v>
      </c>
      <c r="B218" s="1">
        <v>10231</v>
      </c>
      <c r="C218" s="1" t="s">
        <v>417</v>
      </c>
      <c r="D218" s="1" t="s">
        <v>565</v>
      </c>
      <c r="E218" s="5" t="s">
        <v>35</v>
      </c>
      <c r="F218" s="1" t="s">
        <v>501</v>
      </c>
      <c r="G218" s="1">
        <v>13200</v>
      </c>
      <c r="H218" s="1">
        <v>9793</v>
      </c>
      <c r="I218" s="1">
        <v>0</v>
      </c>
      <c r="J218" s="1">
        <v>0</v>
      </c>
      <c r="K218" s="1" t="s">
        <v>556</v>
      </c>
    </row>
    <row r="219" spans="1:11" hidden="1" x14ac:dyDescent="0.3">
      <c r="A219" s="1">
        <v>218</v>
      </c>
      <c r="B219" s="1">
        <v>10234</v>
      </c>
      <c r="C219" s="1" t="s">
        <v>420</v>
      </c>
      <c r="D219" s="1" t="s">
        <v>565</v>
      </c>
      <c r="E219" s="5" t="s">
        <v>35</v>
      </c>
      <c r="F219" s="1" t="s">
        <v>501</v>
      </c>
      <c r="G219" s="1">
        <v>12500</v>
      </c>
      <c r="H219" s="1">
        <v>10484</v>
      </c>
      <c r="I219" s="1">
        <v>0</v>
      </c>
      <c r="J219" s="1">
        <v>0</v>
      </c>
      <c r="K219" s="1" t="s">
        <v>556</v>
      </c>
    </row>
    <row r="220" spans="1:11" hidden="1" x14ac:dyDescent="0.3">
      <c r="A220" s="1">
        <v>219</v>
      </c>
      <c r="B220" s="1">
        <v>10238</v>
      </c>
      <c r="C220" s="1" t="s">
        <v>428</v>
      </c>
      <c r="D220" s="1" t="s">
        <v>565</v>
      </c>
      <c r="E220" s="5" t="s">
        <v>61</v>
      </c>
      <c r="F220" s="1" t="s">
        <v>501</v>
      </c>
      <c r="G220" s="1">
        <v>12000</v>
      </c>
      <c r="H220" s="1">
        <v>5807</v>
      </c>
      <c r="I220" s="1">
        <v>0</v>
      </c>
      <c r="J220" s="1">
        <v>0</v>
      </c>
      <c r="K220" s="1" t="s">
        <v>556</v>
      </c>
    </row>
    <row r="221" spans="1:11" hidden="1" x14ac:dyDescent="0.3">
      <c r="A221" s="1">
        <v>220</v>
      </c>
      <c r="B221" s="1">
        <v>172</v>
      </c>
      <c r="C221" s="1" t="s">
        <v>419</v>
      </c>
      <c r="D221" s="1" t="s">
        <v>564</v>
      </c>
      <c r="E221" s="5" t="s">
        <v>35</v>
      </c>
      <c r="F221" s="1" t="s">
        <v>501</v>
      </c>
      <c r="G221" s="1">
        <v>11500</v>
      </c>
      <c r="H221" s="1">
        <v>11500</v>
      </c>
      <c r="I221" s="1">
        <v>897</v>
      </c>
      <c r="J221" s="1">
        <v>374</v>
      </c>
      <c r="K221" s="1" t="s">
        <v>556</v>
      </c>
    </row>
    <row r="222" spans="1:11" hidden="1" x14ac:dyDescent="0.3">
      <c r="A222" s="1">
        <v>221</v>
      </c>
      <c r="B222" s="1">
        <v>196</v>
      </c>
      <c r="C222" s="1" t="s">
        <v>432</v>
      </c>
      <c r="D222" s="1" t="s">
        <v>564</v>
      </c>
      <c r="E222" s="5" t="s">
        <v>67</v>
      </c>
      <c r="F222" s="1" t="s">
        <v>501</v>
      </c>
      <c r="G222" s="1">
        <v>30000</v>
      </c>
      <c r="H222" s="1">
        <v>29616</v>
      </c>
      <c r="I222" s="1">
        <v>0</v>
      </c>
      <c r="J222" s="1">
        <v>0</v>
      </c>
      <c r="K222" s="1" t="s">
        <v>556</v>
      </c>
    </row>
    <row r="223" spans="1:11" hidden="1" x14ac:dyDescent="0.3">
      <c r="A223" s="1">
        <v>222</v>
      </c>
      <c r="B223" s="1">
        <v>150</v>
      </c>
      <c r="C223" s="1" t="s">
        <v>433</v>
      </c>
      <c r="D223" s="1" t="s">
        <v>564</v>
      </c>
      <c r="E223" s="5" t="s">
        <v>67</v>
      </c>
      <c r="F223" s="1" t="s">
        <v>501</v>
      </c>
      <c r="G223" s="1">
        <v>30000</v>
      </c>
      <c r="H223" s="1">
        <v>19986</v>
      </c>
      <c r="I223" s="1">
        <v>0</v>
      </c>
      <c r="J223" s="1">
        <v>0</v>
      </c>
      <c r="K223" s="1" t="s">
        <v>556</v>
      </c>
    </row>
    <row r="224" spans="1:11" hidden="1" x14ac:dyDescent="0.3">
      <c r="A224" s="1">
        <v>223</v>
      </c>
      <c r="B224" s="1">
        <v>199</v>
      </c>
      <c r="C224" s="1" t="s">
        <v>434</v>
      </c>
      <c r="D224" s="1" t="s">
        <v>564</v>
      </c>
      <c r="E224" s="5" t="s">
        <v>67</v>
      </c>
      <c r="F224" s="1" t="s">
        <v>501</v>
      </c>
      <c r="G224" s="1">
        <v>30000</v>
      </c>
      <c r="H224" s="1">
        <v>12281</v>
      </c>
      <c r="I224" s="1">
        <v>0</v>
      </c>
      <c r="J224" s="1">
        <v>0</v>
      </c>
      <c r="K224" s="1" t="s">
        <v>556</v>
      </c>
    </row>
    <row r="225" spans="1:11" hidden="1" x14ac:dyDescent="0.3">
      <c r="A225" s="1">
        <v>224</v>
      </c>
      <c r="B225" s="1">
        <v>203</v>
      </c>
      <c r="C225" s="1" t="s">
        <v>435</v>
      </c>
      <c r="D225" s="1" t="s">
        <v>564</v>
      </c>
      <c r="E225" s="5" t="s">
        <v>67</v>
      </c>
      <c r="F225" s="1" t="s">
        <v>501</v>
      </c>
      <c r="G225" s="1">
        <v>30000</v>
      </c>
      <c r="H225" s="1">
        <v>15814</v>
      </c>
      <c r="I225" s="1">
        <v>0</v>
      </c>
      <c r="J225" s="1">
        <v>0</v>
      </c>
      <c r="K225" s="1" t="s">
        <v>556</v>
      </c>
    </row>
    <row r="226" spans="1:11" hidden="1" x14ac:dyDescent="0.3">
      <c r="A226" s="1">
        <v>225</v>
      </c>
      <c r="B226" s="1">
        <v>10240</v>
      </c>
      <c r="C226" s="1" t="s">
        <v>436</v>
      </c>
      <c r="D226" s="1" t="s">
        <v>565</v>
      </c>
      <c r="E226" s="5" t="s">
        <v>53</v>
      </c>
      <c r="F226" s="1" t="s">
        <v>501</v>
      </c>
      <c r="G226" s="1">
        <v>11000</v>
      </c>
      <c r="H226" s="1">
        <v>8162</v>
      </c>
      <c r="I226" s="1">
        <v>0</v>
      </c>
      <c r="J226" s="1">
        <v>0</v>
      </c>
      <c r="K226" s="1" t="s">
        <v>557</v>
      </c>
    </row>
    <row r="227" spans="1:11" hidden="1" x14ac:dyDescent="0.3">
      <c r="A227" s="1">
        <v>226</v>
      </c>
      <c r="B227" s="1">
        <v>10241</v>
      </c>
      <c r="C227" s="1" t="s">
        <v>437</v>
      </c>
      <c r="D227" s="1" t="s">
        <v>565</v>
      </c>
      <c r="E227" s="5" t="s">
        <v>35</v>
      </c>
      <c r="F227" s="1" t="s">
        <v>501</v>
      </c>
      <c r="G227" s="1">
        <v>13500</v>
      </c>
      <c r="H227" s="1">
        <v>12629</v>
      </c>
      <c r="I227" s="1">
        <v>0</v>
      </c>
      <c r="J227" s="1">
        <v>0</v>
      </c>
      <c r="K227" s="1" t="s">
        <v>556</v>
      </c>
    </row>
    <row r="228" spans="1:11" hidden="1" x14ac:dyDescent="0.3">
      <c r="A228" s="1">
        <v>227</v>
      </c>
      <c r="B228" s="1">
        <v>10242</v>
      </c>
      <c r="C228" s="1" t="s">
        <v>385</v>
      </c>
      <c r="D228" s="1" t="s">
        <v>565</v>
      </c>
      <c r="E228" s="5" t="s">
        <v>55</v>
      </c>
      <c r="F228" s="1" t="s">
        <v>504</v>
      </c>
      <c r="G228" s="1">
        <v>13500</v>
      </c>
      <c r="H228" s="1">
        <v>11323</v>
      </c>
      <c r="I228" s="1">
        <v>0</v>
      </c>
      <c r="J228" s="1">
        <v>0</v>
      </c>
      <c r="K228" s="1" t="s">
        <v>554</v>
      </c>
    </row>
    <row r="229" spans="1:11" hidden="1" x14ac:dyDescent="0.3">
      <c r="A229" s="1">
        <v>228</v>
      </c>
      <c r="B229" s="1">
        <v>10243</v>
      </c>
      <c r="C229" s="1" t="s">
        <v>438</v>
      </c>
      <c r="D229" s="1" t="s">
        <v>565</v>
      </c>
      <c r="E229" s="5" t="s">
        <v>61</v>
      </c>
      <c r="F229" s="1" t="s">
        <v>501</v>
      </c>
      <c r="G229" s="1">
        <v>13000</v>
      </c>
      <c r="H229" s="1">
        <v>7968</v>
      </c>
      <c r="I229" s="1">
        <v>0</v>
      </c>
      <c r="J229" s="1">
        <v>0</v>
      </c>
      <c r="K229" s="1" t="s">
        <v>556</v>
      </c>
    </row>
    <row r="230" spans="1:11" hidden="1" x14ac:dyDescent="0.3">
      <c r="A230" s="1">
        <v>229</v>
      </c>
      <c r="B230" s="1">
        <v>10245</v>
      </c>
      <c r="C230" s="1" t="s">
        <v>439</v>
      </c>
      <c r="D230" s="1" t="s">
        <v>565</v>
      </c>
      <c r="E230" s="5" t="s">
        <v>35</v>
      </c>
      <c r="F230" s="1" t="s">
        <v>501</v>
      </c>
      <c r="G230" s="1">
        <v>13000</v>
      </c>
      <c r="H230" s="1">
        <v>13000</v>
      </c>
      <c r="I230" s="1">
        <v>0</v>
      </c>
      <c r="J230" s="1">
        <v>0</v>
      </c>
      <c r="K230" s="1" t="s">
        <v>556</v>
      </c>
    </row>
    <row r="231" spans="1:11" hidden="1" x14ac:dyDescent="0.3">
      <c r="A231" s="1">
        <v>230</v>
      </c>
      <c r="B231" s="1">
        <v>10251</v>
      </c>
      <c r="C231" s="1" t="s">
        <v>440</v>
      </c>
      <c r="D231" s="1" t="s">
        <v>565</v>
      </c>
      <c r="E231" s="5" t="s">
        <v>35</v>
      </c>
      <c r="F231" s="1" t="s">
        <v>501</v>
      </c>
      <c r="G231" s="1">
        <v>12000</v>
      </c>
      <c r="H231" s="1">
        <v>12000</v>
      </c>
      <c r="I231" s="1">
        <v>0</v>
      </c>
      <c r="J231" s="1">
        <v>0</v>
      </c>
      <c r="K231" s="1" t="s">
        <v>556</v>
      </c>
    </row>
    <row r="232" spans="1:11" hidden="1" x14ac:dyDescent="0.3">
      <c r="A232" s="1">
        <v>231</v>
      </c>
      <c r="B232" s="1">
        <v>149</v>
      </c>
      <c r="C232" s="1" t="s">
        <v>441</v>
      </c>
      <c r="D232" s="1" t="s">
        <v>564</v>
      </c>
      <c r="E232" s="5" t="s">
        <v>67</v>
      </c>
      <c r="F232" s="1" t="s">
        <v>501</v>
      </c>
      <c r="G232" s="1">
        <v>30000</v>
      </c>
      <c r="H232" s="1">
        <v>12827</v>
      </c>
      <c r="I232" s="1">
        <v>0</v>
      </c>
      <c r="J232" s="1">
        <v>0</v>
      </c>
      <c r="K232" s="1" t="s">
        <v>556</v>
      </c>
    </row>
    <row r="233" spans="1:11" hidden="1" x14ac:dyDescent="0.3">
      <c r="A233" s="1">
        <v>209</v>
      </c>
      <c r="B233" s="1">
        <v>121</v>
      </c>
      <c r="C233" s="1" t="s">
        <v>384</v>
      </c>
      <c r="D233" s="1" t="s">
        <v>564</v>
      </c>
      <c r="E233" s="5" t="s">
        <v>67</v>
      </c>
      <c r="F233" s="1" t="s">
        <v>501</v>
      </c>
      <c r="G233" s="1">
        <v>30000</v>
      </c>
      <c r="H233" s="1">
        <v>9996</v>
      </c>
      <c r="I233" s="1">
        <v>876</v>
      </c>
      <c r="J233" s="1">
        <v>365</v>
      </c>
      <c r="K233" s="1" t="s">
        <v>556</v>
      </c>
    </row>
    <row r="234" spans="1:11" hidden="1" x14ac:dyDescent="0.3">
      <c r="A234" s="1">
        <v>233</v>
      </c>
      <c r="B234" s="1">
        <v>197</v>
      </c>
      <c r="C234" s="1" t="s">
        <v>443</v>
      </c>
      <c r="D234" s="1" t="s">
        <v>564</v>
      </c>
      <c r="E234" s="5" t="s">
        <v>67</v>
      </c>
      <c r="F234" s="1" t="s">
        <v>501</v>
      </c>
      <c r="G234" s="1">
        <v>30000</v>
      </c>
      <c r="H234" s="1">
        <v>15268</v>
      </c>
      <c r="I234" s="1">
        <v>0</v>
      </c>
      <c r="J234" s="1">
        <v>0</v>
      </c>
      <c r="K234" s="1" t="s">
        <v>556</v>
      </c>
    </row>
    <row r="235" spans="1:11" hidden="1" x14ac:dyDescent="0.3">
      <c r="A235" s="1">
        <v>234</v>
      </c>
      <c r="B235" s="1">
        <v>198</v>
      </c>
      <c r="C235" s="1" t="s">
        <v>444</v>
      </c>
      <c r="D235" s="1" t="s">
        <v>564</v>
      </c>
      <c r="E235" s="5" t="s">
        <v>67</v>
      </c>
      <c r="F235" s="1" t="s">
        <v>501</v>
      </c>
      <c r="G235" s="1">
        <v>30000</v>
      </c>
      <c r="H235" s="1">
        <v>13110</v>
      </c>
      <c r="I235" s="1">
        <v>0</v>
      </c>
      <c r="J235" s="1">
        <v>0</v>
      </c>
      <c r="K235" s="1" t="s">
        <v>556</v>
      </c>
    </row>
    <row r="236" spans="1:11" hidden="1" x14ac:dyDescent="0.3">
      <c r="A236" s="1">
        <v>235</v>
      </c>
      <c r="B236" s="1">
        <v>10246</v>
      </c>
      <c r="C236" s="1" t="s">
        <v>445</v>
      </c>
      <c r="D236" s="1" t="s">
        <v>565</v>
      </c>
      <c r="E236" s="5" t="s">
        <v>55</v>
      </c>
      <c r="F236" s="1" t="s">
        <v>504</v>
      </c>
      <c r="G236" s="1">
        <v>13500</v>
      </c>
      <c r="H236" s="1">
        <v>12193</v>
      </c>
      <c r="I236" s="1">
        <v>0</v>
      </c>
      <c r="J236" s="1">
        <v>0</v>
      </c>
      <c r="K236" s="1" t="s">
        <v>554</v>
      </c>
    </row>
    <row r="237" spans="1:11" hidden="1" x14ac:dyDescent="0.3">
      <c r="A237" s="1">
        <v>236</v>
      </c>
      <c r="B237" s="1">
        <v>176</v>
      </c>
      <c r="C237" s="1" t="s">
        <v>279</v>
      </c>
      <c r="D237" s="1" t="s">
        <v>564</v>
      </c>
      <c r="E237" s="5" t="s">
        <v>35</v>
      </c>
      <c r="F237" s="1" t="s">
        <v>501</v>
      </c>
      <c r="G237" s="1">
        <v>12500</v>
      </c>
      <c r="H237" s="1">
        <v>6048</v>
      </c>
      <c r="I237" s="1">
        <v>472</v>
      </c>
      <c r="J237" s="1">
        <v>197</v>
      </c>
      <c r="K237" s="1" t="s">
        <v>556</v>
      </c>
    </row>
    <row r="238" spans="1:11" hidden="1" x14ac:dyDescent="0.3">
      <c r="A238" s="1">
        <v>237</v>
      </c>
      <c r="B238" s="1">
        <v>177</v>
      </c>
      <c r="C238" s="1" t="s">
        <v>446</v>
      </c>
      <c r="D238" s="1" t="s">
        <v>564</v>
      </c>
      <c r="E238" s="5" t="s">
        <v>35</v>
      </c>
      <c r="F238" s="1" t="s">
        <v>501</v>
      </c>
      <c r="G238" s="1">
        <v>12500</v>
      </c>
      <c r="H238" s="1">
        <v>8266</v>
      </c>
      <c r="I238" s="1">
        <v>645</v>
      </c>
      <c r="J238" s="1">
        <v>269</v>
      </c>
      <c r="K238" s="1" t="s">
        <v>556</v>
      </c>
    </row>
    <row r="239" spans="1:11" hidden="1" x14ac:dyDescent="0.3">
      <c r="A239" s="1">
        <v>238</v>
      </c>
      <c r="B239" s="1">
        <v>146</v>
      </c>
      <c r="C239" s="1" t="s">
        <v>447</v>
      </c>
      <c r="D239" s="1" t="s">
        <v>564</v>
      </c>
      <c r="E239" s="5" t="s">
        <v>42</v>
      </c>
      <c r="F239" s="1" t="s">
        <v>499</v>
      </c>
      <c r="G239" s="1">
        <v>35000</v>
      </c>
      <c r="H239" s="1">
        <v>27097</v>
      </c>
      <c r="I239" s="1">
        <v>0</v>
      </c>
      <c r="J239" s="1">
        <v>0</v>
      </c>
      <c r="K239" s="1" t="s">
        <v>552</v>
      </c>
    </row>
    <row r="240" spans="1:11" hidden="1" x14ac:dyDescent="0.3">
      <c r="A240" s="1">
        <v>239</v>
      </c>
      <c r="B240" s="1">
        <v>147</v>
      </c>
      <c r="C240" s="1" t="s">
        <v>448</v>
      </c>
      <c r="D240" s="1" t="s">
        <v>564</v>
      </c>
      <c r="E240" s="5" t="s">
        <v>449</v>
      </c>
      <c r="F240" s="1" t="s">
        <v>499</v>
      </c>
      <c r="G240" s="1">
        <v>25020</v>
      </c>
      <c r="H240" s="1">
        <v>18563</v>
      </c>
      <c r="I240" s="1">
        <v>0</v>
      </c>
      <c r="J240" s="1">
        <v>0</v>
      </c>
      <c r="K240" s="1" t="s">
        <v>553</v>
      </c>
    </row>
    <row r="241" spans="1:11" hidden="1" x14ac:dyDescent="0.3">
      <c r="A241" s="1">
        <v>240</v>
      </c>
      <c r="B241" s="1">
        <v>178</v>
      </c>
      <c r="C241" s="1" t="s">
        <v>450</v>
      </c>
      <c r="D241" s="1" t="s">
        <v>564</v>
      </c>
      <c r="E241" s="5" t="s">
        <v>35</v>
      </c>
      <c r="F241" s="1" t="s">
        <v>501</v>
      </c>
      <c r="G241" s="1">
        <v>11500</v>
      </c>
      <c r="H241" s="1">
        <v>4452</v>
      </c>
      <c r="I241" s="1">
        <v>347</v>
      </c>
      <c r="J241" s="1">
        <v>145</v>
      </c>
      <c r="K241" s="1" t="s">
        <v>556</v>
      </c>
    </row>
    <row r="242" spans="1:11" hidden="1" x14ac:dyDescent="0.3">
      <c r="A242" s="1">
        <v>241</v>
      </c>
      <c r="B242" s="1">
        <v>10247</v>
      </c>
      <c r="C242" s="1" t="s">
        <v>451</v>
      </c>
      <c r="D242" s="1" t="s">
        <v>565</v>
      </c>
      <c r="E242" s="5" t="s">
        <v>35</v>
      </c>
      <c r="F242" s="1" t="s">
        <v>501</v>
      </c>
      <c r="G242" s="1">
        <v>12000</v>
      </c>
      <c r="H242" s="1">
        <v>9290</v>
      </c>
      <c r="I242" s="1">
        <v>0</v>
      </c>
      <c r="J242" s="1">
        <v>0</v>
      </c>
      <c r="K242" s="1" t="s">
        <v>556</v>
      </c>
    </row>
    <row r="243" spans="1:11" hidden="1" x14ac:dyDescent="0.3">
      <c r="A243" s="1">
        <v>242</v>
      </c>
      <c r="B243" s="1">
        <v>180</v>
      </c>
      <c r="C243" s="1" t="s">
        <v>452</v>
      </c>
      <c r="D243" s="1" t="s">
        <v>564</v>
      </c>
      <c r="E243" s="5" t="s">
        <v>35</v>
      </c>
      <c r="F243" s="1" t="s">
        <v>501</v>
      </c>
      <c r="G243" s="1">
        <v>11500</v>
      </c>
      <c r="H243" s="1">
        <v>7420</v>
      </c>
      <c r="I243" s="1">
        <v>579</v>
      </c>
      <c r="J243" s="1">
        <v>242</v>
      </c>
      <c r="K243" s="1" t="s">
        <v>556</v>
      </c>
    </row>
    <row r="244" spans="1:11" hidden="1" x14ac:dyDescent="0.3">
      <c r="A244" s="1">
        <v>243</v>
      </c>
      <c r="B244" s="1">
        <v>10239</v>
      </c>
      <c r="C244" s="1" t="s">
        <v>453</v>
      </c>
      <c r="D244" s="1" t="s">
        <v>565</v>
      </c>
      <c r="E244" s="5" t="s">
        <v>35</v>
      </c>
      <c r="F244" s="1" t="s">
        <v>501</v>
      </c>
      <c r="G244" s="1">
        <v>11500</v>
      </c>
      <c r="H244" s="1">
        <v>4452</v>
      </c>
      <c r="I244" s="1">
        <v>0</v>
      </c>
      <c r="J244" s="1">
        <v>0</v>
      </c>
      <c r="K244" s="1" t="s">
        <v>556</v>
      </c>
    </row>
    <row r="245" spans="1:11" hidden="1" x14ac:dyDescent="0.3">
      <c r="A245" s="1">
        <v>244</v>
      </c>
      <c r="B245" s="1">
        <v>181</v>
      </c>
      <c r="C245" s="1" t="s">
        <v>454</v>
      </c>
      <c r="D245" s="1" t="s">
        <v>564</v>
      </c>
      <c r="E245" s="5" t="s">
        <v>35</v>
      </c>
      <c r="F245" s="1" t="s">
        <v>501</v>
      </c>
      <c r="G245" s="1">
        <v>12500</v>
      </c>
      <c r="H245" s="1">
        <v>5443</v>
      </c>
      <c r="I245" s="1">
        <v>425</v>
      </c>
      <c r="J245" s="1">
        <v>177</v>
      </c>
      <c r="K245" s="1" t="s">
        <v>556</v>
      </c>
    </row>
    <row r="246" spans="1:11" hidden="1" x14ac:dyDescent="0.3">
      <c r="A246" s="1">
        <v>245</v>
      </c>
      <c r="B246" s="1">
        <v>183</v>
      </c>
      <c r="C246" s="1" t="s">
        <v>263</v>
      </c>
      <c r="D246" s="1" t="s">
        <v>564</v>
      </c>
      <c r="E246" s="5" t="s">
        <v>53</v>
      </c>
      <c r="F246" s="1" t="s">
        <v>501</v>
      </c>
      <c r="G246" s="1">
        <v>11500</v>
      </c>
      <c r="H246" s="1">
        <v>7420</v>
      </c>
      <c r="I246" s="1">
        <v>579</v>
      </c>
      <c r="J246" s="1">
        <v>242</v>
      </c>
      <c r="K246" s="1" t="s">
        <v>557</v>
      </c>
    </row>
    <row r="247" spans="1:11" hidden="1" x14ac:dyDescent="0.3">
      <c r="A247" s="1">
        <v>246</v>
      </c>
      <c r="B247" s="1">
        <v>195</v>
      </c>
      <c r="C247" s="1" t="s">
        <v>455</v>
      </c>
      <c r="D247" s="1" t="s">
        <v>564</v>
      </c>
      <c r="E247" s="5" t="s">
        <v>67</v>
      </c>
      <c r="F247" s="1" t="s">
        <v>501</v>
      </c>
      <c r="G247" s="1">
        <v>30000</v>
      </c>
      <c r="H247" s="1">
        <v>4164</v>
      </c>
      <c r="I247" s="1">
        <v>0</v>
      </c>
      <c r="J247" s="1">
        <v>0</v>
      </c>
      <c r="K247" s="1" t="s">
        <v>556</v>
      </c>
    </row>
    <row r="248" spans="1:11" hidden="1" x14ac:dyDescent="0.3">
      <c r="A248" s="1">
        <v>247</v>
      </c>
      <c r="B248" s="1">
        <v>10244</v>
      </c>
      <c r="C248" s="1" t="s">
        <v>456</v>
      </c>
      <c r="D248" s="1" t="s">
        <v>565</v>
      </c>
      <c r="E248" s="5" t="s">
        <v>61</v>
      </c>
      <c r="F248" s="1" t="s">
        <v>501</v>
      </c>
      <c r="G248" s="1">
        <v>13000</v>
      </c>
      <c r="H248" s="1">
        <v>5452</v>
      </c>
      <c r="I248" s="1">
        <v>0</v>
      </c>
      <c r="J248" s="1">
        <v>0</v>
      </c>
      <c r="K248" s="1" t="s">
        <v>556</v>
      </c>
    </row>
    <row r="249" spans="1:11" hidden="1" x14ac:dyDescent="0.3">
      <c r="A249" s="1">
        <v>248</v>
      </c>
      <c r="B249" s="1">
        <v>10248</v>
      </c>
      <c r="C249" s="1" t="s">
        <v>454</v>
      </c>
      <c r="D249" s="1" t="s">
        <v>565</v>
      </c>
      <c r="E249" s="5" t="s">
        <v>53</v>
      </c>
      <c r="F249" s="1" t="s">
        <v>501</v>
      </c>
      <c r="G249" s="1">
        <v>11000</v>
      </c>
      <c r="H249" s="1">
        <v>1420</v>
      </c>
      <c r="I249" s="1">
        <v>0</v>
      </c>
      <c r="J249" s="1">
        <v>0</v>
      </c>
      <c r="K249" s="1" t="s">
        <v>557</v>
      </c>
    </row>
    <row r="250" spans="1:11" hidden="1" x14ac:dyDescent="0.3">
      <c r="A250" s="1">
        <v>249</v>
      </c>
      <c r="B250" s="1">
        <v>182</v>
      </c>
      <c r="C250" s="1" t="s">
        <v>81</v>
      </c>
      <c r="D250" s="1" t="s">
        <v>564</v>
      </c>
      <c r="E250" s="5" t="s">
        <v>82</v>
      </c>
      <c r="F250" s="1" t="s">
        <v>501</v>
      </c>
      <c r="G250" s="1">
        <v>22000</v>
      </c>
      <c r="H250" s="1">
        <v>9936</v>
      </c>
      <c r="I250" s="1">
        <v>904</v>
      </c>
      <c r="J250" s="1">
        <v>0</v>
      </c>
      <c r="K250" s="1" t="s">
        <v>556</v>
      </c>
    </row>
    <row r="251" spans="1:11" x14ac:dyDescent="0.3">
      <c r="A251" s="1">
        <v>250</v>
      </c>
      <c r="B251" s="1">
        <v>148</v>
      </c>
      <c r="C251" s="1" t="s">
        <v>457</v>
      </c>
      <c r="D251" s="1" t="s">
        <v>564</v>
      </c>
      <c r="E251" s="5" t="s">
        <v>458</v>
      </c>
      <c r="F251" s="1" t="s">
        <v>496</v>
      </c>
      <c r="G251" s="1">
        <v>25000</v>
      </c>
      <c r="H251" s="1">
        <v>11290</v>
      </c>
      <c r="I251" s="1">
        <v>881</v>
      </c>
      <c r="J251" s="1">
        <v>0</v>
      </c>
      <c r="K251" s="1" t="s">
        <v>553</v>
      </c>
    </row>
    <row r="252" spans="1:11" hidden="1" x14ac:dyDescent="0.3">
      <c r="A252" s="1">
        <v>251</v>
      </c>
      <c r="B252" s="1">
        <v>184</v>
      </c>
      <c r="C252" s="1" t="s">
        <v>459</v>
      </c>
      <c r="D252" s="1" t="s">
        <v>564</v>
      </c>
      <c r="E252" s="5" t="s">
        <v>67</v>
      </c>
      <c r="F252" s="1" t="s">
        <v>501</v>
      </c>
      <c r="G252" s="1">
        <v>30000</v>
      </c>
      <c r="H252" s="1">
        <v>4511</v>
      </c>
      <c r="I252" s="1">
        <v>0</v>
      </c>
      <c r="J252" s="1">
        <v>0</v>
      </c>
      <c r="K252" s="1" t="s">
        <v>556</v>
      </c>
    </row>
    <row r="253" spans="1:11" hidden="1" x14ac:dyDescent="0.3">
      <c r="A253" s="1">
        <v>252</v>
      </c>
      <c r="B253" s="1">
        <v>10249</v>
      </c>
      <c r="C253" s="1" t="s">
        <v>460</v>
      </c>
      <c r="D253" s="1" t="s">
        <v>565</v>
      </c>
      <c r="E253" s="5" t="s">
        <v>53</v>
      </c>
      <c r="F253" s="1" t="s">
        <v>501</v>
      </c>
      <c r="G253" s="1">
        <v>13000</v>
      </c>
      <c r="H253" s="1">
        <v>5871</v>
      </c>
      <c r="I253" s="1">
        <v>0</v>
      </c>
      <c r="J253" s="1">
        <v>0</v>
      </c>
      <c r="K253" s="1" t="s">
        <v>557</v>
      </c>
    </row>
    <row r="254" spans="1:11" hidden="1" x14ac:dyDescent="0.3">
      <c r="A254" s="1">
        <v>253</v>
      </c>
      <c r="B254" s="1">
        <v>191</v>
      </c>
      <c r="C254" s="1" t="s">
        <v>461</v>
      </c>
      <c r="D254" s="1" t="s">
        <v>564</v>
      </c>
      <c r="E254" s="5" t="s">
        <v>67</v>
      </c>
      <c r="F254" s="1" t="s">
        <v>501</v>
      </c>
      <c r="G254" s="1">
        <v>30000</v>
      </c>
      <c r="H254" s="1">
        <v>1287</v>
      </c>
      <c r="I254" s="1">
        <v>0</v>
      </c>
      <c r="J254" s="1">
        <v>0</v>
      </c>
      <c r="K254" s="1" t="s">
        <v>556</v>
      </c>
    </row>
    <row r="255" spans="1:11" hidden="1" x14ac:dyDescent="0.3">
      <c r="A255" s="1">
        <v>254</v>
      </c>
      <c r="B255" s="1">
        <v>10232</v>
      </c>
      <c r="C255" s="1" t="s">
        <v>418</v>
      </c>
      <c r="D255" s="1" t="s">
        <v>565</v>
      </c>
      <c r="E255" s="5" t="s">
        <v>35</v>
      </c>
      <c r="F255" s="1" t="s">
        <v>501</v>
      </c>
      <c r="G255" s="1">
        <v>13500</v>
      </c>
      <c r="H255" s="1">
        <v>10452</v>
      </c>
      <c r="I255" s="1">
        <v>0</v>
      </c>
      <c r="J255" s="1">
        <v>0</v>
      </c>
      <c r="K255" s="1" t="s">
        <v>556</v>
      </c>
    </row>
    <row r="256" spans="1:11" hidden="1" x14ac:dyDescent="0.3">
      <c r="A256" s="1">
        <v>255</v>
      </c>
      <c r="B256" s="1">
        <v>186</v>
      </c>
      <c r="C256" s="1" t="s">
        <v>462</v>
      </c>
      <c r="D256" s="1" t="s">
        <v>564</v>
      </c>
      <c r="E256" s="5" t="s">
        <v>67</v>
      </c>
      <c r="F256" s="1" t="s">
        <v>501</v>
      </c>
      <c r="G256" s="1">
        <v>30000</v>
      </c>
      <c r="H256" s="1">
        <v>1636</v>
      </c>
      <c r="I256" s="1">
        <v>0</v>
      </c>
      <c r="J256" s="1">
        <v>0</v>
      </c>
      <c r="K256" s="1" t="s">
        <v>556</v>
      </c>
    </row>
    <row r="257" spans="1:11" hidden="1" x14ac:dyDescent="0.3">
      <c r="A257" s="1">
        <v>256</v>
      </c>
      <c r="B257" s="1">
        <v>185</v>
      </c>
      <c r="C257" s="1" t="s">
        <v>463</v>
      </c>
      <c r="D257" s="1" t="s">
        <v>564</v>
      </c>
      <c r="E257" s="5" t="s">
        <v>67</v>
      </c>
      <c r="F257" s="1" t="s">
        <v>501</v>
      </c>
      <c r="G257" s="1">
        <v>30000</v>
      </c>
      <c r="H257" s="1">
        <v>1959</v>
      </c>
      <c r="I257" s="1">
        <v>0</v>
      </c>
      <c r="J257" s="1">
        <v>0</v>
      </c>
      <c r="K257" s="1" t="s">
        <v>556</v>
      </c>
    </row>
    <row r="258" spans="1:11" hidden="1" x14ac:dyDescent="0.3">
      <c r="A258" s="1">
        <v>257</v>
      </c>
      <c r="B258" s="1">
        <v>187</v>
      </c>
      <c r="C258" s="1" t="s">
        <v>409</v>
      </c>
      <c r="D258" s="1" t="s">
        <v>564</v>
      </c>
      <c r="E258" s="5" t="s">
        <v>53</v>
      </c>
      <c r="F258" s="1" t="s">
        <v>501</v>
      </c>
      <c r="G258" s="1">
        <v>11500</v>
      </c>
      <c r="H258" s="1">
        <v>1113</v>
      </c>
      <c r="I258" s="1">
        <v>87</v>
      </c>
      <c r="J258" s="1">
        <v>37</v>
      </c>
      <c r="K258" s="1" t="s">
        <v>557</v>
      </c>
    </row>
    <row r="259" spans="1:11" hidden="1" x14ac:dyDescent="0.3">
      <c r="A259" s="1">
        <v>258</v>
      </c>
      <c r="B259" s="1">
        <v>189</v>
      </c>
      <c r="C259" s="1" t="s">
        <v>464</v>
      </c>
      <c r="D259" s="1" t="s">
        <v>564</v>
      </c>
      <c r="E259" s="5" t="s">
        <v>67</v>
      </c>
      <c r="F259" s="1" t="s">
        <v>501</v>
      </c>
      <c r="G259" s="1">
        <v>30000</v>
      </c>
      <c r="H259" s="1">
        <v>1696</v>
      </c>
      <c r="I259" s="1">
        <v>0</v>
      </c>
      <c r="J259" s="1">
        <v>0</v>
      </c>
      <c r="K259" s="1" t="s">
        <v>556</v>
      </c>
    </row>
    <row r="260" spans="1:11" hidden="1" x14ac:dyDescent="0.3">
      <c r="A260" s="1">
        <v>259</v>
      </c>
      <c r="B260" s="1">
        <v>188</v>
      </c>
      <c r="C260" s="1" t="s">
        <v>465</v>
      </c>
      <c r="D260" s="1" t="s">
        <v>564</v>
      </c>
      <c r="E260" s="5" t="s">
        <v>33</v>
      </c>
      <c r="F260" s="1" t="s">
        <v>501</v>
      </c>
      <c r="G260" s="1">
        <v>16000</v>
      </c>
      <c r="H260" s="1">
        <v>1548</v>
      </c>
      <c r="I260" s="1">
        <v>121</v>
      </c>
      <c r="J260" s="1">
        <v>51</v>
      </c>
      <c r="K260" s="1" t="s">
        <v>556</v>
      </c>
    </row>
    <row r="261" spans="1:11" hidden="1" x14ac:dyDescent="0.3">
      <c r="A261" s="1">
        <v>260</v>
      </c>
      <c r="B261" s="1">
        <v>10250</v>
      </c>
      <c r="C261" s="1" t="s">
        <v>466</v>
      </c>
      <c r="D261" s="1" t="s">
        <v>565</v>
      </c>
      <c r="E261" s="5" t="s">
        <v>35</v>
      </c>
      <c r="F261" s="1" t="s">
        <v>501</v>
      </c>
      <c r="G261" s="1">
        <v>13000</v>
      </c>
      <c r="H261" s="1">
        <v>1258</v>
      </c>
      <c r="I261" s="1">
        <v>0</v>
      </c>
      <c r="J261" s="1">
        <v>0</v>
      </c>
      <c r="K261" s="1" t="s">
        <v>556</v>
      </c>
    </row>
    <row r="262" spans="1:11" hidden="1" x14ac:dyDescent="0.3">
      <c r="A262" s="1">
        <v>261</v>
      </c>
      <c r="B262" s="1">
        <v>10255</v>
      </c>
      <c r="C262" s="1" t="s">
        <v>467</v>
      </c>
      <c r="D262" s="1" t="s">
        <v>565</v>
      </c>
      <c r="E262" s="5" t="s">
        <v>53</v>
      </c>
      <c r="F262" s="1" t="s">
        <v>501</v>
      </c>
      <c r="G262" s="1">
        <v>11000</v>
      </c>
      <c r="H262" s="1">
        <v>1065</v>
      </c>
      <c r="I262" s="1">
        <v>0</v>
      </c>
      <c r="J262" s="1">
        <v>0</v>
      </c>
      <c r="K262" s="1" t="s">
        <v>557</v>
      </c>
    </row>
    <row r="263" spans="1:11" hidden="1" x14ac:dyDescent="0.3">
      <c r="A263" s="1">
        <v>262</v>
      </c>
      <c r="B263" s="1">
        <v>10252</v>
      </c>
      <c r="C263" s="1" t="s">
        <v>468</v>
      </c>
      <c r="D263" s="1" t="s">
        <v>565</v>
      </c>
      <c r="E263" s="5" t="s">
        <v>53</v>
      </c>
      <c r="F263" s="1" t="s">
        <v>501</v>
      </c>
      <c r="G263" s="1">
        <v>12000</v>
      </c>
      <c r="H263" s="1">
        <v>6193</v>
      </c>
      <c r="I263" s="1">
        <v>0</v>
      </c>
      <c r="J263" s="1">
        <v>0</v>
      </c>
      <c r="K263" s="1" t="s">
        <v>557</v>
      </c>
    </row>
    <row r="264" spans="1:11" hidden="1" x14ac:dyDescent="0.3">
      <c r="A264" s="1">
        <v>263</v>
      </c>
      <c r="B264" s="1">
        <v>210</v>
      </c>
      <c r="C264" s="1" t="s">
        <v>469</v>
      </c>
      <c r="D264" s="1" t="s">
        <v>564</v>
      </c>
      <c r="E264" s="5" t="s">
        <v>67</v>
      </c>
      <c r="F264" s="1" t="s">
        <v>501</v>
      </c>
      <c r="G264" s="1">
        <v>30000</v>
      </c>
      <c r="H264" s="1">
        <v>1935</v>
      </c>
      <c r="I264" s="1">
        <v>0</v>
      </c>
      <c r="J264" s="1">
        <v>0</v>
      </c>
      <c r="K264" s="1" t="s">
        <v>556</v>
      </c>
    </row>
    <row r="265" spans="1:11" hidden="1" x14ac:dyDescent="0.3">
      <c r="A265" s="1">
        <v>264</v>
      </c>
      <c r="B265" s="1">
        <v>204</v>
      </c>
      <c r="C265" s="1" t="s">
        <v>470</v>
      </c>
      <c r="D265" s="1" t="s">
        <v>564</v>
      </c>
      <c r="E265" s="5" t="s">
        <v>67</v>
      </c>
      <c r="F265" s="1" t="s">
        <v>501</v>
      </c>
      <c r="G265" s="1">
        <v>30000</v>
      </c>
      <c r="H265" s="1">
        <v>20323</v>
      </c>
      <c r="I265" s="1">
        <v>0</v>
      </c>
      <c r="J265" s="1">
        <v>0</v>
      </c>
      <c r="K265" s="1" t="s">
        <v>556</v>
      </c>
    </row>
    <row r="266" spans="1:11" hidden="1" x14ac:dyDescent="0.3">
      <c r="A266" s="1">
        <v>265</v>
      </c>
      <c r="B266" s="1">
        <v>205</v>
      </c>
      <c r="C266" s="1" t="s">
        <v>471</v>
      </c>
      <c r="D266" s="1" t="s">
        <v>564</v>
      </c>
      <c r="E266" s="5" t="s">
        <v>67</v>
      </c>
      <c r="F266" s="1" t="s">
        <v>501</v>
      </c>
      <c r="G266" s="1">
        <v>30000</v>
      </c>
      <c r="H266" s="1">
        <v>874</v>
      </c>
      <c r="I266" s="1">
        <v>0</v>
      </c>
      <c r="J266" s="1">
        <v>0</v>
      </c>
      <c r="K266" s="1" t="s">
        <v>556</v>
      </c>
    </row>
    <row r="267" spans="1:11" hidden="1" x14ac:dyDescent="0.3">
      <c r="A267" s="1">
        <v>266</v>
      </c>
      <c r="B267" s="1">
        <v>206</v>
      </c>
      <c r="C267" s="1" t="s">
        <v>472</v>
      </c>
      <c r="D267" s="1" t="s">
        <v>564</v>
      </c>
      <c r="E267" s="5" t="s">
        <v>67</v>
      </c>
      <c r="F267" s="1" t="s">
        <v>501</v>
      </c>
      <c r="G267" s="1">
        <v>30000</v>
      </c>
      <c r="H267" s="1">
        <v>484</v>
      </c>
      <c r="I267" s="1">
        <v>0</v>
      </c>
      <c r="J267" s="1">
        <v>0</v>
      </c>
      <c r="K267" s="1" t="s">
        <v>556</v>
      </c>
    </row>
    <row r="268" spans="1:11" hidden="1" x14ac:dyDescent="0.3">
      <c r="A268" s="1">
        <v>267</v>
      </c>
      <c r="B268" s="1">
        <v>207</v>
      </c>
      <c r="C268" s="1" t="s">
        <v>473</v>
      </c>
      <c r="D268" s="1" t="s">
        <v>564</v>
      </c>
      <c r="E268" s="5" t="s">
        <v>67</v>
      </c>
      <c r="F268" s="1" t="s">
        <v>501</v>
      </c>
      <c r="G268" s="1">
        <v>30000</v>
      </c>
      <c r="H268" s="1">
        <v>813</v>
      </c>
      <c r="I268" s="1">
        <v>0</v>
      </c>
      <c r="J268" s="1">
        <v>0</v>
      </c>
      <c r="K268" s="1" t="s">
        <v>556</v>
      </c>
    </row>
    <row r="269" spans="1:11" hidden="1" x14ac:dyDescent="0.3">
      <c r="A269" s="1">
        <v>268</v>
      </c>
      <c r="B269" s="1">
        <v>208</v>
      </c>
      <c r="C269" s="1" t="s">
        <v>474</v>
      </c>
      <c r="D269" s="1" t="s">
        <v>564</v>
      </c>
      <c r="E269" s="5" t="s">
        <v>67</v>
      </c>
      <c r="F269" s="1" t="s">
        <v>501</v>
      </c>
      <c r="G269" s="1">
        <v>30000</v>
      </c>
      <c r="H269" s="1">
        <v>641</v>
      </c>
      <c r="I269" s="1">
        <v>0</v>
      </c>
      <c r="J269" s="1">
        <v>0</v>
      </c>
      <c r="K269" s="1" t="s">
        <v>556</v>
      </c>
    </row>
    <row r="270" spans="1:11" hidden="1" x14ac:dyDescent="0.3">
      <c r="A270" s="1">
        <v>269</v>
      </c>
      <c r="B270" s="1">
        <v>10067</v>
      </c>
      <c r="C270" s="1" t="s">
        <v>40</v>
      </c>
      <c r="D270" s="1" t="s">
        <v>565</v>
      </c>
      <c r="E270" s="5" t="s">
        <v>61</v>
      </c>
      <c r="F270" s="1" t="s">
        <v>501</v>
      </c>
      <c r="G270" s="1">
        <v>11500</v>
      </c>
      <c r="H270" s="1">
        <v>8532</v>
      </c>
      <c r="I270" s="1">
        <v>0</v>
      </c>
      <c r="J270" s="1">
        <v>0</v>
      </c>
      <c r="K270" s="1" t="s">
        <v>556</v>
      </c>
    </row>
    <row r="271" spans="1:11" hidden="1" x14ac:dyDescent="0.3">
      <c r="A271" s="1">
        <v>270</v>
      </c>
      <c r="B271" s="1">
        <v>64</v>
      </c>
      <c r="C271" s="1" t="s">
        <v>285</v>
      </c>
      <c r="D271" s="1" t="s">
        <v>564</v>
      </c>
      <c r="E271" s="5" t="s">
        <v>286</v>
      </c>
      <c r="F271" s="1" t="s">
        <v>499</v>
      </c>
      <c r="G271" s="1">
        <v>5000</v>
      </c>
      <c r="H271" s="1">
        <v>968</v>
      </c>
      <c r="I271" s="1">
        <v>0</v>
      </c>
      <c r="J271" s="1">
        <v>0</v>
      </c>
      <c r="K271" s="1" t="s">
        <v>554</v>
      </c>
    </row>
    <row r="272" spans="1:11" hidden="1" x14ac:dyDescent="0.3">
      <c r="A272" s="1">
        <v>271</v>
      </c>
      <c r="B272" s="1">
        <v>5000</v>
      </c>
      <c r="C272" s="1" t="s">
        <v>363</v>
      </c>
      <c r="D272" s="1" t="s">
        <v>564</v>
      </c>
      <c r="E272" s="5" t="s">
        <v>286</v>
      </c>
      <c r="F272" s="1" t="s">
        <v>499</v>
      </c>
      <c r="G272" s="1">
        <v>5000</v>
      </c>
      <c r="H272" s="1">
        <v>807</v>
      </c>
      <c r="I272" s="1">
        <v>0</v>
      </c>
      <c r="J272" s="1">
        <v>0</v>
      </c>
      <c r="K272" s="1" t="s">
        <v>554</v>
      </c>
    </row>
    <row r="273" spans="1:11" hidden="1" x14ac:dyDescent="0.3">
      <c r="A273" s="1">
        <v>272</v>
      </c>
      <c r="B273" s="1">
        <v>5003</v>
      </c>
      <c r="C273" s="1" t="s">
        <v>365</v>
      </c>
      <c r="D273" s="1" t="s">
        <v>564</v>
      </c>
      <c r="E273" s="5" t="s">
        <v>286</v>
      </c>
      <c r="F273" s="1" t="s">
        <v>496</v>
      </c>
      <c r="G273" s="1">
        <v>5000</v>
      </c>
      <c r="H273" s="1">
        <v>807</v>
      </c>
      <c r="I273" s="1">
        <v>0</v>
      </c>
      <c r="J273" s="1">
        <v>0</v>
      </c>
      <c r="K273" s="1" t="s">
        <v>554</v>
      </c>
    </row>
    <row r="274" spans="1:11" hidden="1" x14ac:dyDescent="0.3">
      <c r="A274" s="1">
        <v>273</v>
      </c>
      <c r="B274" s="1" t="s">
        <v>366</v>
      </c>
      <c r="C274" s="1" t="s">
        <v>367</v>
      </c>
      <c r="D274" s="1" t="s">
        <v>564</v>
      </c>
      <c r="E274" s="5" t="s">
        <v>286</v>
      </c>
      <c r="F274" s="1" t="s">
        <v>499</v>
      </c>
      <c r="G274" s="1">
        <v>5000</v>
      </c>
      <c r="H274" s="1">
        <v>807</v>
      </c>
      <c r="I274" s="1">
        <v>0</v>
      </c>
      <c r="J274" s="1">
        <v>0</v>
      </c>
      <c r="K274" s="1" t="s">
        <v>554</v>
      </c>
    </row>
  </sheetData>
  <autoFilter ref="A1:K274" xr:uid="{A76335D7-DB2A-4A18-A7A3-FF2571848A73}">
    <filterColumn colId="2">
      <filters>
        <filter val="Megha Rao"/>
      </filters>
    </filterColumn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6C5E228-AECD-4206-AB0B-A2B7735C8A6F}">
          <x14:formula1>
            <xm:f>'Data Validation'!$A$1:$A$7</xm:f>
          </x14:formula1>
          <xm:sqref>F2:F1048576</xm:sqref>
        </x14:dataValidation>
        <x14:dataValidation type="list" allowBlank="1" showInputMessage="1" showErrorMessage="1" xr:uid="{492DFA12-11C6-428D-AD30-E73705989836}">
          <x14:formula1>
            <xm:f>'Data Validation'!$K$1:$K$11</xm:f>
          </x14:formula1>
          <xm:sqref>K1:K1048576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923F5-18BC-4EBE-9AC4-FA534F2C7C15}">
  <sheetPr filterMode="1"/>
  <dimension ref="A1:K298"/>
  <sheetViews>
    <sheetView tabSelected="1" zoomScale="90" workbookViewId="0">
      <selection activeCell="B277" sqref="B277"/>
    </sheetView>
  </sheetViews>
  <sheetFormatPr defaultRowHeight="14.4" x14ac:dyDescent="0.3"/>
  <cols>
    <col min="2" max="2" width="16.21875" customWidth="1"/>
    <col min="3" max="3" width="26.109375" bestFit="1" customWidth="1"/>
    <col min="4" max="4" width="15.6640625" customWidth="1"/>
    <col min="5" max="5" width="25" customWidth="1"/>
    <col min="6" max="6" width="23" customWidth="1"/>
    <col min="7" max="7" width="11" bestFit="1" customWidth="1"/>
    <col min="8" max="8" width="14.44140625" bestFit="1" customWidth="1"/>
    <col min="9" max="9" width="13.77734375" bestFit="1" customWidth="1"/>
    <col min="10" max="10" width="14.44140625" bestFit="1" customWidth="1"/>
    <col min="11" max="11" width="12.33203125" bestFit="1" customWidth="1"/>
    <col min="14" max="14" width="9.4414062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10" t="s">
        <v>569</v>
      </c>
      <c r="E1" s="2" t="s">
        <v>4</v>
      </c>
      <c r="F1" s="2" t="s">
        <v>3</v>
      </c>
      <c r="G1" s="2" t="s">
        <v>5</v>
      </c>
      <c r="H1" s="2" t="s">
        <v>6</v>
      </c>
      <c r="I1" s="2" t="s">
        <v>562</v>
      </c>
      <c r="J1" s="2" t="s">
        <v>563</v>
      </c>
      <c r="K1" s="2" t="s">
        <v>559</v>
      </c>
    </row>
    <row r="2" spans="1:11" hidden="1" x14ac:dyDescent="0.3">
      <c r="A2" s="1">
        <v>1</v>
      </c>
      <c r="B2" s="1">
        <v>1</v>
      </c>
      <c r="C2" s="1" t="s">
        <v>7</v>
      </c>
      <c r="D2" s="1" t="s">
        <v>564</v>
      </c>
      <c r="E2" s="1" t="s">
        <v>8</v>
      </c>
      <c r="F2" s="1" t="str">
        <f>_xlfn.XLOOKUP($B2,'August 2025'!B:B,'July 2025'!F:F)</f>
        <v>Manufacturing</v>
      </c>
      <c r="G2" s="11">
        <v>11000</v>
      </c>
      <c r="H2" s="1">
        <v>11000</v>
      </c>
      <c r="I2" s="1">
        <v>858</v>
      </c>
      <c r="J2" s="1">
        <v>358</v>
      </c>
      <c r="K2" s="1" t="s">
        <v>557</v>
      </c>
    </row>
    <row r="3" spans="1:11" hidden="1" x14ac:dyDescent="0.3">
      <c r="A3" s="1">
        <v>2</v>
      </c>
      <c r="B3" s="1">
        <v>2</v>
      </c>
      <c r="C3" s="1" t="s">
        <v>9</v>
      </c>
      <c r="D3" s="1" t="s">
        <v>564</v>
      </c>
      <c r="E3" s="1" t="s">
        <v>10</v>
      </c>
      <c r="F3" s="1" t="str">
        <f>_xlfn.XLOOKUP($B3,'August 2025'!B:B,'July 2025'!F:F)</f>
        <v>Domestic</v>
      </c>
      <c r="G3" s="11">
        <v>20500</v>
      </c>
      <c r="H3" s="1">
        <v>14879</v>
      </c>
      <c r="I3" s="1">
        <v>1161</v>
      </c>
      <c r="J3" s="1">
        <v>484</v>
      </c>
      <c r="K3" s="1" t="str">
        <f>_xlfn.XLOOKUP('August 2025'!B3,'August 2025'!B:B,'July 2025'!K:K)</f>
        <v>L-8</v>
      </c>
    </row>
    <row r="4" spans="1:11" hidden="1" x14ac:dyDescent="0.3">
      <c r="A4" s="1">
        <v>3</v>
      </c>
      <c r="B4" s="1">
        <v>3</v>
      </c>
      <c r="C4" s="1" t="s">
        <v>11</v>
      </c>
      <c r="D4" s="1" t="s">
        <v>564</v>
      </c>
      <c r="E4" s="1" t="s">
        <v>12</v>
      </c>
      <c r="F4" s="1" t="str">
        <f>_xlfn.XLOOKUP($B4,'August 2025'!B:B,'July 2025'!F:F)</f>
        <v>Manufacturing</v>
      </c>
      <c r="G4" s="11">
        <v>27500</v>
      </c>
      <c r="H4" s="1">
        <v>25726</v>
      </c>
      <c r="I4" s="1">
        <v>0</v>
      </c>
      <c r="J4" s="1">
        <v>0</v>
      </c>
      <c r="K4" s="1" t="s">
        <v>554</v>
      </c>
    </row>
    <row r="5" spans="1:11" hidden="1" x14ac:dyDescent="0.3">
      <c r="A5" s="1">
        <v>4</v>
      </c>
      <c r="B5" s="1">
        <v>4</v>
      </c>
      <c r="C5" s="1" t="s">
        <v>13</v>
      </c>
      <c r="D5" s="1" t="s">
        <v>564</v>
      </c>
      <c r="E5" s="1" t="s">
        <v>10</v>
      </c>
      <c r="F5" s="1" t="str">
        <f>_xlfn.XLOOKUP($B5,'August 2025'!B:B,'July 2025'!F:F)</f>
        <v>Domestic</v>
      </c>
      <c r="G5" s="11">
        <v>25781</v>
      </c>
      <c r="H5" s="1">
        <v>25781</v>
      </c>
      <c r="I5" s="1">
        <v>1950</v>
      </c>
      <c r="J5" s="1">
        <v>0</v>
      </c>
      <c r="K5" s="1" t="str">
        <f>_xlfn.XLOOKUP('August 2025'!B5,'August 2025'!B:B,'July 2025'!K:K)</f>
        <v>L-6</v>
      </c>
    </row>
    <row r="6" spans="1:11" hidden="1" x14ac:dyDescent="0.3">
      <c r="A6" s="1">
        <v>5</v>
      </c>
      <c r="B6" s="1">
        <v>6</v>
      </c>
      <c r="C6" s="1" t="s">
        <v>16</v>
      </c>
      <c r="D6" s="1" t="s">
        <v>564</v>
      </c>
      <c r="E6" s="1" t="s">
        <v>17</v>
      </c>
      <c r="F6" s="1" t="str">
        <f>_xlfn.XLOOKUP($B6,'August 2025'!B:B,'July 2025'!F:F)</f>
        <v xml:space="preserve">Admin </v>
      </c>
      <c r="G6" s="11">
        <v>62500</v>
      </c>
      <c r="H6" s="1">
        <v>61492</v>
      </c>
      <c r="I6" s="1">
        <v>0</v>
      </c>
      <c r="J6" s="1">
        <v>0</v>
      </c>
      <c r="K6" s="1" t="str">
        <f>_xlfn.XLOOKUP('August 2025'!B6,'August 2025'!B:B,'July 2025'!K:K)</f>
        <v>L-5</v>
      </c>
    </row>
    <row r="7" spans="1:11" hidden="1" x14ac:dyDescent="0.3">
      <c r="A7" s="1">
        <v>6</v>
      </c>
      <c r="B7" s="1">
        <v>7</v>
      </c>
      <c r="C7" s="1" t="s">
        <v>18</v>
      </c>
      <c r="D7" s="1" t="s">
        <v>564</v>
      </c>
      <c r="E7" s="1" t="s">
        <v>19</v>
      </c>
      <c r="F7" s="1" t="str">
        <f>_xlfn.XLOOKUP($B7,'August 2025'!B:B,'July 2025'!F:F)</f>
        <v xml:space="preserve">Admin </v>
      </c>
      <c r="G7" s="11">
        <v>48000</v>
      </c>
      <c r="H7" s="1">
        <v>48000</v>
      </c>
      <c r="I7" s="1">
        <v>0</v>
      </c>
      <c r="J7" s="1">
        <v>0</v>
      </c>
      <c r="K7" s="1" t="str">
        <f>_xlfn.XLOOKUP('August 2025'!B7,'August 2025'!B:B,'July 2025'!K:K)</f>
        <v>L-5</v>
      </c>
    </row>
    <row r="8" spans="1:11" hidden="1" x14ac:dyDescent="0.3">
      <c r="A8" s="1">
        <v>7</v>
      </c>
      <c r="B8" s="1">
        <v>10002</v>
      </c>
      <c r="C8" s="1" t="s">
        <v>80</v>
      </c>
      <c r="D8" s="1" t="s">
        <v>565</v>
      </c>
      <c r="E8" s="1" t="s">
        <v>53</v>
      </c>
      <c r="F8" s="1" t="str">
        <f>_xlfn.XLOOKUP($B8,'August 2025'!B:B,'July 2025'!F:F)</f>
        <v>Domestic</v>
      </c>
      <c r="G8" s="11">
        <v>15400</v>
      </c>
      <c r="H8" s="1">
        <v>13662</v>
      </c>
      <c r="I8" s="1">
        <v>0</v>
      </c>
      <c r="J8" s="1">
        <v>0</v>
      </c>
      <c r="K8" s="1" t="str">
        <f>_xlfn.XLOOKUP('August 2025'!B8,'August 2025'!B:B,'July 2025'!K:K)</f>
        <v>L-10</v>
      </c>
    </row>
    <row r="9" spans="1:11" hidden="1" x14ac:dyDescent="0.3">
      <c r="A9" s="1">
        <v>8</v>
      </c>
      <c r="B9" s="1">
        <v>10004</v>
      </c>
      <c r="C9" s="1" t="s">
        <v>83</v>
      </c>
      <c r="D9" s="1" t="s">
        <v>565</v>
      </c>
      <c r="E9" s="1" t="s">
        <v>21</v>
      </c>
      <c r="F9" s="1" t="str">
        <f>_xlfn.XLOOKUP($B9,'August 2025'!B:B,'July 2025'!F:F)</f>
        <v>Manufacturing</v>
      </c>
      <c r="G9" s="11">
        <v>17000</v>
      </c>
      <c r="H9" s="1">
        <v>16177</v>
      </c>
      <c r="I9" s="1">
        <v>0</v>
      </c>
      <c r="J9" s="1">
        <v>0</v>
      </c>
      <c r="K9" s="1" t="str">
        <f>_xlfn.XLOOKUP('August 2025'!B9,'August 2025'!B:B,'July 2025'!K:K)</f>
        <v>L-9</v>
      </c>
    </row>
    <row r="10" spans="1:11" hidden="1" x14ac:dyDescent="0.3">
      <c r="A10" s="1">
        <v>9</v>
      </c>
      <c r="B10" s="1">
        <v>122</v>
      </c>
      <c r="C10" s="1" t="s">
        <v>84</v>
      </c>
      <c r="D10" s="1" t="s">
        <v>564</v>
      </c>
      <c r="E10" s="1" t="s">
        <v>55</v>
      </c>
      <c r="F10" s="1" t="str">
        <f>_xlfn.XLOOKUP($B10,'August 2025'!B:B,'July 2025'!F:F)</f>
        <v>Domestic</v>
      </c>
      <c r="G10" s="11">
        <v>17500</v>
      </c>
      <c r="H10" s="1">
        <v>15807</v>
      </c>
      <c r="I10" s="1">
        <v>1233</v>
      </c>
      <c r="J10" s="1">
        <v>514</v>
      </c>
      <c r="K10" s="1" t="str">
        <f>_xlfn.XLOOKUP('August 2025'!B10,'August 2025'!B:B,'July 2025'!K:K)</f>
        <v>L-7</v>
      </c>
    </row>
    <row r="11" spans="1:11" hidden="1" x14ac:dyDescent="0.3">
      <c r="A11" s="1">
        <v>10</v>
      </c>
      <c r="B11" s="1">
        <v>9</v>
      </c>
      <c r="C11" s="1" t="s">
        <v>22</v>
      </c>
      <c r="D11" s="1" t="s">
        <v>564</v>
      </c>
      <c r="E11" s="1" t="s">
        <v>23</v>
      </c>
      <c r="F11" s="1" t="str">
        <f>_xlfn.XLOOKUP($B11,'August 2025'!B:B,'July 2025'!F:F)</f>
        <v>Domestic</v>
      </c>
      <c r="G11" s="11">
        <v>16300</v>
      </c>
      <c r="H11" s="1">
        <v>15512</v>
      </c>
      <c r="I11" s="1">
        <v>1210</v>
      </c>
      <c r="J11" s="1">
        <v>505</v>
      </c>
      <c r="K11" s="1" t="str">
        <f>_xlfn.XLOOKUP('August 2025'!B11,'August 2025'!B:B,'July 2025'!K:K)</f>
        <v>L-9</v>
      </c>
    </row>
    <row r="12" spans="1:11" hidden="1" x14ac:dyDescent="0.3">
      <c r="A12" s="1">
        <v>11</v>
      </c>
      <c r="B12" s="1">
        <v>123</v>
      </c>
      <c r="C12" s="1" t="s">
        <v>85</v>
      </c>
      <c r="D12" s="1" t="s">
        <v>564</v>
      </c>
      <c r="E12" s="1" t="s">
        <v>12</v>
      </c>
      <c r="F12" s="1" t="str">
        <f>_xlfn.XLOOKUP($B12,'August 2025'!B:B,'July 2025'!F:F)</f>
        <v>Manufacturing</v>
      </c>
      <c r="G12" s="11">
        <v>16000</v>
      </c>
      <c r="H12" s="1">
        <v>15742</v>
      </c>
      <c r="I12" s="1">
        <v>1228</v>
      </c>
      <c r="J12" s="1">
        <v>512</v>
      </c>
      <c r="K12" s="1" t="s">
        <v>554</v>
      </c>
    </row>
    <row r="13" spans="1:11" hidden="1" x14ac:dyDescent="0.3">
      <c r="A13" s="1">
        <v>12</v>
      </c>
      <c r="B13" s="1">
        <v>124</v>
      </c>
      <c r="C13" s="1" t="s">
        <v>86</v>
      </c>
      <c r="D13" s="1" t="s">
        <v>564</v>
      </c>
      <c r="E13" s="1" t="s">
        <v>10</v>
      </c>
      <c r="F13" s="1" t="str">
        <f>_xlfn.XLOOKUP($B13,'August 2025'!B:B,'July 2025'!F:F)</f>
        <v>Manufacturing</v>
      </c>
      <c r="G13" s="11">
        <v>15000</v>
      </c>
      <c r="H13" s="1">
        <v>14516</v>
      </c>
      <c r="I13" s="1">
        <v>1132</v>
      </c>
      <c r="J13" s="1">
        <v>472</v>
      </c>
      <c r="K13" s="1" t="str">
        <f>_xlfn.XLOOKUP('August 2025'!B13,'August 2025'!B:B,'July 2025'!K:K)</f>
        <v>L-7</v>
      </c>
    </row>
    <row r="14" spans="1:11" hidden="1" x14ac:dyDescent="0.3">
      <c r="A14" s="1">
        <v>13</v>
      </c>
      <c r="B14" s="1">
        <v>11</v>
      </c>
      <c r="C14" s="1" t="s">
        <v>25</v>
      </c>
      <c r="D14" s="1" t="s">
        <v>564</v>
      </c>
      <c r="E14" s="1" t="s">
        <v>429</v>
      </c>
      <c r="F14" s="1" t="str">
        <f>_xlfn.XLOOKUP($B14,'August 2025'!B:B,'July 2025'!F:F)</f>
        <v xml:space="preserve">Admin </v>
      </c>
      <c r="G14" s="11">
        <v>28000</v>
      </c>
      <c r="H14" s="1">
        <v>28000</v>
      </c>
      <c r="I14" s="1">
        <v>1950</v>
      </c>
      <c r="J14" s="1">
        <v>0</v>
      </c>
      <c r="K14" s="1" t="str">
        <f>_xlfn.XLOOKUP('August 2025'!B14,'August 2025'!B:B,'July 2025'!K:K)</f>
        <v>L-6</v>
      </c>
    </row>
    <row r="15" spans="1:11" hidden="1" x14ac:dyDescent="0.3">
      <c r="A15" s="1">
        <v>14</v>
      </c>
      <c r="B15" s="1">
        <v>10008</v>
      </c>
      <c r="C15" s="1" t="s">
        <v>87</v>
      </c>
      <c r="D15" s="1" t="s">
        <v>565</v>
      </c>
      <c r="E15" s="1" t="s">
        <v>88</v>
      </c>
      <c r="F15" s="1" t="str">
        <f>_xlfn.XLOOKUP($B15,'August 2025'!B:B,'July 2025'!F:F)</f>
        <v>Office Support</v>
      </c>
      <c r="G15" s="11">
        <v>11000</v>
      </c>
      <c r="H15" s="1">
        <v>11000</v>
      </c>
      <c r="I15" s="1">
        <v>0</v>
      </c>
      <c r="J15" s="1">
        <v>0</v>
      </c>
      <c r="K15" s="1" t="str">
        <f>_xlfn.XLOOKUP('August 2025'!B15,'August 2025'!B:B,'July 2025'!K:K)</f>
        <v>L-10</v>
      </c>
    </row>
    <row r="16" spans="1:11" hidden="1" x14ac:dyDescent="0.3">
      <c r="A16" s="1">
        <v>15</v>
      </c>
      <c r="B16" s="1">
        <v>10068</v>
      </c>
      <c r="C16" s="1" t="s">
        <v>150</v>
      </c>
      <c r="D16" s="1" t="s">
        <v>565</v>
      </c>
      <c r="E16" s="1" t="s">
        <v>53</v>
      </c>
      <c r="F16" s="1" t="s">
        <v>504</v>
      </c>
      <c r="G16" s="11">
        <v>13500</v>
      </c>
      <c r="H16" s="1">
        <v>11323</v>
      </c>
      <c r="I16" s="1">
        <v>0</v>
      </c>
      <c r="J16" s="1">
        <v>0</v>
      </c>
      <c r="K16" s="1" t="str">
        <f>_xlfn.XLOOKUP('August 2025'!B16,'August 2025'!B:B,'July 2025'!K:K)</f>
        <v>L-10</v>
      </c>
    </row>
    <row r="17" spans="1:11" hidden="1" x14ac:dyDescent="0.3">
      <c r="A17" s="1">
        <v>16</v>
      </c>
      <c r="B17" s="1">
        <v>13</v>
      </c>
      <c r="C17" s="1" t="s">
        <v>29</v>
      </c>
      <c r="D17" s="1" t="s">
        <v>564</v>
      </c>
      <c r="E17" s="1" t="s">
        <v>10</v>
      </c>
      <c r="F17" s="1" t="str">
        <f>_xlfn.XLOOKUP($B17,'August 2025'!B:B,'July 2025'!F:F)</f>
        <v>Domestic</v>
      </c>
      <c r="G17" s="11">
        <v>16000</v>
      </c>
      <c r="H17" s="1">
        <v>14710</v>
      </c>
      <c r="I17" s="1">
        <v>1147</v>
      </c>
      <c r="J17" s="1">
        <v>479</v>
      </c>
      <c r="K17" s="1" t="str">
        <f>_xlfn.XLOOKUP('August 2025'!B17,'August 2025'!B:B,'July 2025'!K:K)</f>
        <v>L-7</v>
      </c>
    </row>
    <row r="18" spans="1:11" hidden="1" x14ac:dyDescent="0.3">
      <c r="A18" s="1">
        <v>17</v>
      </c>
      <c r="B18" s="1">
        <v>14</v>
      </c>
      <c r="C18" s="1" t="s">
        <v>30</v>
      </c>
      <c r="D18" s="1" t="s">
        <v>564</v>
      </c>
      <c r="E18" s="1" t="s">
        <v>31</v>
      </c>
      <c r="F18" s="1" t="str">
        <f>_xlfn.XLOOKUP($B18,'August 2025'!B:B,'July 2025'!F:F)</f>
        <v>Office Support</v>
      </c>
      <c r="G18" s="11">
        <v>15400</v>
      </c>
      <c r="H18" s="1">
        <v>15400</v>
      </c>
      <c r="I18" s="1">
        <v>1201</v>
      </c>
      <c r="J18" s="1">
        <v>501</v>
      </c>
      <c r="K18" s="1" t="str">
        <f>_xlfn.XLOOKUP('August 2025'!B18,'August 2025'!B:B,'July 2025'!K:K)</f>
        <v>L-10</v>
      </c>
    </row>
    <row r="19" spans="1:11" hidden="1" x14ac:dyDescent="0.3">
      <c r="A19" s="1">
        <v>18</v>
      </c>
      <c r="B19" s="1">
        <v>15</v>
      </c>
      <c r="C19" s="1" t="s">
        <v>32</v>
      </c>
      <c r="D19" s="1" t="s">
        <v>564</v>
      </c>
      <c r="E19" s="1" t="s">
        <v>33</v>
      </c>
      <c r="F19" s="1" t="str">
        <f>_xlfn.XLOOKUP($B19,'August 2025'!B:B,'July 2025'!F:F)</f>
        <v>Manufacturing</v>
      </c>
      <c r="G19" s="11">
        <v>20000</v>
      </c>
      <c r="H19" s="1">
        <v>17097</v>
      </c>
      <c r="I19" s="1">
        <v>1334</v>
      </c>
      <c r="J19" s="1">
        <v>556</v>
      </c>
      <c r="K19" s="1" t="str">
        <f>_xlfn.XLOOKUP('August 2025'!B19,'August 2025'!B:B,'July 2025'!K:K)</f>
        <v>L-9</v>
      </c>
    </row>
    <row r="20" spans="1:11" hidden="1" x14ac:dyDescent="0.3">
      <c r="A20" s="1">
        <v>19</v>
      </c>
      <c r="B20" s="1">
        <v>16</v>
      </c>
      <c r="C20" s="1" t="s">
        <v>34</v>
      </c>
      <c r="D20" s="1" t="s">
        <v>564</v>
      </c>
      <c r="E20" s="1" t="s">
        <v>35</v>
      </c>
      <c r="F20" s="1" t="str">
        <f>_xlfn.XLOOKUP($B20,'August 2025'!B:B,'July 2025'!F:F)</f>
        <v>Domestic</v>
      </c>
      <c r="G20" s="11">
        <v>15000</v>
      </c>
      <c r="H20" s="1">
        <v>14274</v>
      </c>
      <c r="I20" s="1">
        <v>1299</v>
      </c>
      <c r="J20" s="1">
        <v>464</v>
      </c>
      <c r="K20" s="1" t="s">
        <v>555</v>
      </c>
    </row>
    <row r="21" spans="1:11" hidden="1" x14ac:dyDescent="0.3">
      <c r="A21" s="1">
        <v>20</v>
      </c>
      <c r="B21" s="1">
        <v>17</v>
      </c>
      <c r="C21" s="1" t="s">
        <v>36</v>
      </c>
      <c r="D21" s="1" t="s">
        <v>564</v>
      </c>
      <c r="E21" s="1" t="s">
        <v>21</v>
      </c>
      <c r="F21" s="1" t="str">
        <f>_xlfn.XLOOKUP($B21,'August 2025'!B:B,'July 2025'!F:F)</f>
        <v>Manufacturing</v>
      </c>
      <c r="G21" s="11">
        <v>17500</v>
      </c>
      <c r="H21" s="1">
        <v>17500</v>
      </c>
      <c r="I21" s="1">
        <v>1365</v>
      </c>
      <c r="J21" s="1">
        <v>569</v>
      </c>
      <c r="K21" s="1" t="str">
        <f>_xlfn.XLOOKUP('August 2025'!B21,'August 2025'!B:B,'July 2025'!K:K)</f>
        <v>L-9</v>
      </c>
    </row>
    <row r="22" spans="1:11" hidden="1" x14ac:dyDescent="0.3">
      <c r="A22" s="1">
        <v>21</v>
      </c>
      <c r="B22" s="1">
        <v>20</v>
      </c>
      <c r="C22" s="1" t="s">
        <v>39</v>
      </c>
      <c r="D22" s="1" t="s">
        <v>564</v>
      </c>
      <c r="E22" s="1" t="s">
        <v>35</v>
      </c>
      <c r="F22" s="1" t="str">
        <f>_xlfn.XLOOKUP($B22,'August 2025'!B:B,'July 2025'!F:F)</f>
        <v>Manufacturing</v>
      </c>
      <c r="G22" s="11">
        <v>14500</v>
      </c>
      <c r="H22" s="1">
        <v>14033</v>
      </c>
      <c r="I22" s="1">
        <v>1277</v>
      </c>
      <c r="J22" s="1">
        <v>457</v>
      </c>
      <c r="K22" s="1" t="str">
        <f>_xlfn.XLOOKUP('August 2025'!B22,'August 2025'!B:B,'July 2025'!K:K)</f>
        <v>L-9</v>
      </c>
    </row>
    <row r="23" spans="1:11" hidden="1" x14ac:dyDescent="0.3">
      <c r="A23" s="1">
        <v>22</v>
      </c>
      <c r="B23" s="1">
        <v>21</v>
      </c>
      <c r="C23" s="1" t="s">
        <v>40</v>
      </c>
      <c r="D23" s="1" t="s">
        <v>564</v>
      </c>
      <c r="E23" s="1" t="s">
        <v>41</v>
      </c>
      <c r="F23" s="1" t="str">
        <f>_xlfn.XLOOKUP($B23,'August 2025'!B:B,'July 2025'!F:F)</f>
        <v>Manufacturing</v>
      </c>
      <c r="G23" s="11">
        <v>22000</v>
      </c>
      <c r="H23" s="1">
        <v>19871</v>
      </c>
      <c r="I23" s="1">
        <v>1550</v>
      </c>
      <c r="J23" s="1">
        <v>0</v>
      </c>
      <c r="K23" s="1" t="str">
        <f>_xlfn.XLOOKUP('August 2025'!B23,'August 2025'!B:B,'July 2025'!K:K)</f>
        <v>L-8</v>
      </c>
    </row>
    <row r="24" spans="1:11" hidden="1" x14ac:dyDescent="0.3">
      <c r="A24" s="1">
        <v>23</v>
      </c>
      <c r="B24" s="1">
        <v>141</v>
      </c>
      <c r="C24" s="1" t="s">
        <v>94</v>
      </c>
      <c r="D24" s="1" t="s">
        <v>564</v>
      </c>
      <c r="E24" s="1" t="s">
        <v>10</v>
      </c>
      <c r="F24" s="1" t="str">
        <f>_xlfn.XLOOKUP($B24,'August 2025'!B:B,'July 2025'!F:F)</f>
        <v>Domestic</v>
      </c>
      <c r="G24" s="11">
        <v>13500</v>
      </c>
      <c r="H24" s="1">
        <v>12629</v>
      </c>
      <c r="I24" s="1">
        <v>985</v>
      </c>
      <c r="J24" s="1">
        <v>411</v>
      </c>
      <c r="K24" s="1" t="str">
        <f>_xlfn.XLOOKUP('August 2025'!B24,'August 2025'!B:B,'July 2025'!K:K)</f>
        <v>L-8</v>
      </c>
    </row>
    <row r="25" spans="1:11" hidden="1" x14ac:dyDescent="0.3">
      <c r="A25" s="1">
        <v>24</v>
      </c>
      <c r="B25" s="1">
        <v>10014</v>
      </c>
      <c r="C25" s="1" t="s">
        <v>95</v>
      </c>
      <c r="D25" s="1" t="s">
        <v>565</v>
      </c>
      <c r="E25" s="1" t="s">
        <v>53</v>
      </c>
      <c r="F25" s="1" t="str">
        <f>_xlfn.XLOOKUP($B25,'August 2025'!B:B,'July 2025'!F:F)</f>
        <v>Manufacturing</v>
      </c>
      <c r="G25" s="11">
        <v>12000</v>
      </c>
      <c r="H25" s="1">
        <v>7742</v>
      </c>
      <c r="I25" s="1">
        <v>0</v>
      </c>
      <c r="J25" s="1">
        <v>0</v>
      </c>
      <c r="K25" s="1" t="str">
        <f>_xlfn.XLOOKUP('August 2025'!B25,'August 2025'!B:B,'July 2025'!K:K)</f>
        <v>L-10</v>
      </c>
    </row>
    <row r="26" spans="1:11" hidden="1" x14ac:dyDescent="0.3">
      <c r="A26" s="1">
        <v>25</v>
      </c>
      <c r="B26" s="1">
        <v>10015</v>
      </c>
      <c r="C26" s="1" t="s">
        <v>96</v>
      </c>
      <c r="D26" s="1" t="s">
        <v>565</v>
      </c>
      <c r="E26" s="1" t="s">
        <v>35</v>
      </c>
      <c r="F26" s="1" t="str">
        <f>_xlfn.XLOOKUP($B26,'August 2025'!B:B,'July 2025'!F:F)</f>
        <v>Manufacturing</v>
      </c>
      <c r="G26" s="11">
        <v>14000</v>
      </c>
      <c r="H26" s="1">
        <v>13548</v>
      </c>
      <c r="I26" s="1">
        <v>0</v>
      </c>
      <c r="J26" s="1">
        <v>0</v>
      </c>
      <c r="K26" s="1" t="str">
        <f>_xlfn.XLOOKUP('August 2025'!B26,'August 2025'!B:B,'July 2025'!K:K)</f>
        <v>L-9</v>
      </c>
    </row>
    <row r="27" spans="1:11" hidden="1" x14ac:dyDescent="0.3">
      <c r="A27" s="1">
        <v>26</v>
      </c>
      <c r="B27" s="1">
        <v>22</v>
      </c>
      <c r="C27" s="1" t="s">
        <v>282</v>
      </c>
      <c r="D27" s="1" t="s">
        <v>564</v>
      </c>
      <c r="E27" s="1" t="s">
        <v>42</v>
      </c>
      <c r="F27" s="1" t="str">
        <f>_xlfn.XLOOKUP($B27,'August 2025'!B:B,'July 2025'!F:F)</f>
        <v>Domestic</v>
      </c>
      <c r="G27" s="11">
        <v>68200</v>
      </c>
      <c r="H27" s="1">
        <v>68200</v>
      </c>
      <c r="I27" s="1">
        <v>1950</v>
      </c>
      <c r="J27" s="1">
        <v>0</v>
      </c>
      <c r="K27" s="1" t="str">
        <f>_xlfn.XLOOKUP('August 2025'!B27,'August 2025'!B:B,'July 2025'!K:K)</f>
        <v>L-5</v>
      </c>
    </row>
    <row r="28" spans="1:11" hidden="1" x14ac:dyDescent="0.3">
      <c r="A28" s="1">
        <v>27</v>
      </c>
      <c r="B28" s="1">
        <v>10067</v>
      </c>
      <c r="C28" s="1" t="s">
        <v>40</v>
      </c>
      <c r="D28" s="1" t="s">
        <v>565</v>
      </c>
      <c r="E28" s="1" t="s">
        <v>61</v>
      </c>
      <c r="F28" s="1" t="str">
        <f>_xlfn.XLOOKUP($B28,'August 2025'!B:B,'July 2025'!F:F)</f>
        <v>Manufacturing</v>
      </c>
      <c r="G28" s="11">
        <v>11500</v>
      </c>
      <c r="H28" s="1">
        <v>7419</v>
      </c>
      <c r="I28" s="1">
        <v>0</v>
      </c>
      <c r="J28" s="1">
        <v>0</v>
      </c>
      <c r="K28" s="1" t="str">
        <f>_xlfn.XLOOKUP('August 2025'!B28,'August 2025'!B:B,'July 2025'!K:K)</f>
        <v>L-10</v>
      </c>
    </row>
    <row r="29" spans="1:11" hidden="1" x14ac:dyDescent="0.3">
      <c r="A29" s="1">
        <v>28</v>
      </c>
      <c r="B29" s="1">
        <v>10017</v>
      </c>
      <c r="C29" s="1" t="s">
        <v>98</v>
      </c>
      <c r="D29" s="1" t="s">
        <v>565</v>
      </c>
      <c r="E29" s="1" t="s">
        <v>53</v>
      </c>
      <c r="F29" s="1" t="str">
        <f>_xlfn.XLOOKUP($B29,'August 2025'!B:B,'July 2025'!F:F)</f>
        <v>Domestic</v>
      </c>
      <c r="G29" s="11">
        <v>13000</v>
      </c>
      <c r="H29" s="1">
        <v>11742</v>
      </c>
      <c r="I29" s="1">
        <v>0</v>
      </c>
      <c r="J29" s="1">
        <v>0</v>
      </c>
      <c r="K29" s="1" t="s">
        <v>557</v>
      </c>
    </row>
    <row r="30" spans="1:11" hidden="1" x14ac:dyDescent="0.3">
      <c r="A30" s="1">
        <v>29</v>
      </c>
      <c r="B30" s="1">
        <v>10018</v>
      </c>
      <c r="C30" s="1" t="s">
        <v>99</v>
      </c>
      <c r="D30" s="1" t="s">
        <v>565</v>
      </c>
      <c r="E30" s="1" t="s">
        <v>35</v>
      </c>
      <c r="F30" s="1" t="str">
        <f>_xlfn.XLOOKUP($B30,'August 2025'!B:B,'July 2025'!F:F)</f>
        <v>Manufacturing</v>
      </c>
      <c r="G30" s="11">
        <v>15700</v>
      </c>
      <c r="H30" s="1">
        <v>15193</v>
      </c>
      <c r="I30" s="1">
        <v>0</v>
      </c>
      <c r="J30" s="1">
        <v>0</v>
      </c>
      <c r="K30" s="1" t="str">
        <f>_xlfn.XLOOKUP('August 2025'!B30,'August 2025'!B:B,'July 2025'!K:K)</f>
        <v>L-9</v>
      </c>
    </row>
    <row r="31" spans="1:11" hidden="1" x14ac:dyDescent="0.3">
      <c r="A31" s="1">
        <v>30</v>
      </c>
      <c r="B31" s="1">
        <v>27</v>
      </c>
      <c r="C31" s="1" t="s">
        <v>48</v>
      </c>
      <c r="D31" s="1" t="s">
        <v>564</v>
      </c>
      <c r="E31" s="1" t="s">
        <v>10</v>
      </c>
      <c r="F31" s="1" t="str">
        <f>_xlfn.XLOOKUP($B31,'August 2025'!B:B,'July 2025'!F:F)</f>
        <v>Domestic</v>
      </c>
      <c r="G31" s="11">
        <v>25988</v>
      </c>
      <c r="H31" s="1">
        <v>25988</v>
      </c>
      <c r="I31" s="1">
        <v>1950</v>
      </c>
      <c r="J31" s="1">
        <v>0</v>
      </c>
      <c r="K31" s="1" t="str">
        <f>_xlfn.XLOOKUP('August 2025'!B31,'August 2025'!B:B,'July 2025'!K:K)</f>
        <v>L-6</v>
      </c>
    </row>
    <row r="32" spans="1:11" hidden="1" x14ac:dyDescent="0.3">
      <c r="A32" s="1">
        <v>31</v>
      </c>
      <c r="B32" s="1">
        <v>29</v>
      </c>
      <c r="C32" s="1" t="s">
        <v>51</v>
      </c>
      <c r="D32" s="1" t="s">
        <v>564</v>
      </c>
      <c r="E32" s="1" t="s">
        <v>42</v>
      </c>
      <c r="F32" s="1" t="str">
        <f>_xlfn.XLOOKUP($B32,'August 2025'!B:B,'July 2025'!F:F)</f>
        <v>D2C</v>
      </c>
      <c r="G32" s="11">
        <v>79450</v>
      </c>
      <c r="H32" s="1">
        <v>79450</v>
      </c>
      <c r="I32" s="1">
        <v>1950</v>
      </c>
      <c r="J32" s="1">
        <v>0</v>
      </c>
      <c r="K32" s="1" t="str">
        <f>_xlfn.XLOOKUP('August 2025'!B32,'August 2025'!B:B,'July 2025'!K:K)</f>
        <v>L-5</v>
      </c>
    </row>
    <row r="33" spans="1:11" hidden="1" x14ac:dyDescent="0.3">
      <c r="A33" s="1">
        <v>32</v>
      </c>
      <c r="B33" s="1">
        <v>10020</v>
      </c>
      <c r="C33" s="1" t="s">
        <v>101</v>
      </c>
      <c r="D33" s="1" t="s">
        <v>565</v>
      </c>
      <c r="E33" s="1" t="s">
        <v>35</v>
      </c>
      <c r="F33" s="1" t="str">
        <f>_xlfn.XLOOKUP($B33,'August 2025'!B:B,'July 2025'!F:F)</f>
        <v>Manufacturing</v>
      </c>
      <c r="G33" s="11">
        <v>14500</v>
      </c>
      <c r="H33" s="1">
        <v>10758</v>
      </c>
      <c r="I33" s="1">
        <v>0</v>
      </c>
      <c r="J33" s="1">
        <v>0</v>
      </c>
      <c r="K33" s="1" t="str">
        <f>_xlfn.XLOOKUP('August 2025'!B33,'August 2025'!B:B,'July 2025'!K:K)</f>
        <v>L-9</v>
      </c>
    </row>
    <row r="34" spans="1:11" hidden="1" x14ac:dyDescent="0.3">
      <c r="A34" s="1">
        <v>33</v>
      </c>
      <c r="B34" s="1">
        <v>32</v>
      </c>
      <c r="C34" s="1" t="s">
        <v>56</v>
      </c>
      <c r="D34" s="1" t="s">
        <v>564</v>
      </c>
      <c r="E34" s="1" t="s">
        <v>41</v>
      </c>
      <c r="F34" s="1" t="str">
        <f>_xlfn.XLOOKUP($B34,'August 2025'!B:B,'July 2025'!F:F)</f>
        <v>Manufacturing</v>
      </c>
      <c r="G34" s="11">
        <v>25000</v>
      </c>
      <c r="H34" s="1">
        <v>10080</v>
      </c>
      <c r="I34" s="1">
        <v>0</v>
      </c>
      <c r="J34" s="1">
        <v>0</v>
      </c>
      <c r="K34" s="1" t="str">
        <f>_xlfn.XLOOKUP('August 2025'!B34,'August 2025'!B:B,'July 2025'!K:K)</f>
        <v>L-8</v>
      </c>
    </row>
    <row r="35" spans="1:11" hidden="1" x14ac:dyDescent="0.3">
      <c r="A35" s="1">
        <v>34</v>
      </c>
      <c r="B35" s="1">
        <v>10021</v>
      </c>
      <c r="C35" s="1" t="s">
        <v>102</v>
      </c>
      <c r="D35" s="1" t="s">
        <v>565</v>
      </c>
      <c r="E35" s="1" t="s">
        <v>35</v>
      </c>
      <c r="F35" s="1" t="str">
        <f>_xlfn.XLOOKUP($B35,'August 2025'!B:B,'July 2025'!F:F)</f>
        <v>Manufacturing</v>
      </c>
      <c r="G35" s="11">
        <v>14200</v>
      </c>
      <c r="H35" s="1">
        <v>5497</v>
      </c>
      <c r="I35" s="1">
        <v>0</v>
      </c>
      <c r="J35" s="1">
        <v>0</v>
      </c>
      <c r="K35" s="1" t="str">
        <f>_xlfn.XLOOKUP('August 2025'!B35,'August 2025'!B:B,'July 2025'!K:K)</f>
        <v>L-9</v>
      </c>
    </row>
    <row r="36" spans="1:11" hidden="1" x14ac:dyDescent="0.3">
      <c r="A36" s="1">
        <v>35</v>
      </c>
      <c r="B36" s="1">
        <v>33</v>
      </c>
      <c r="C36" s="1" t="s">
        <v>57</v>
      </c>
      <c r="D36" s="1" t="s">
        <v>564</v>
      </c>
      <c r="E36" s="1" t="s">
        <v>58</v>
      </c>
      <c r="F36" s="1" t="str">
        <f>_xlfn.XLOOKUP($B36,'August 2025'!B:B,'July 2025'!F:F)</f>
        <v>D2C</v>
      </c>
      <c r="G36" s="11">
        <v>37000</v>
      </c>
      <c r="H36" s="1">
        <v>37000</v>
      </c>
      <c r="I36" s="1">
        <v>0</v>
      </c>
      <c r="J36" s="1">
        <v>0</v>
      </c>
      <c r="K36" s="1" t="str">
        <f>_xlfn.XLOOKUP('August 2025'!B36,'August 2025'!B:B,'July 2025'!K:K)</f>
        <v>L-6</v>
      </c>
    </row>
    <row r="37" spans="1:11" x14ac:dyDescent="0.3">
      <c r="A37" s="1">
        <v>36</v>
      </c>
      <c r="B37" s="1">
        <v>192</v>
      </c>
      <c r="C37" s="1" t="s">
        <v>105</v>
      </c>
      <c r="D37" s="1" t="s">
        <v>564</v>
      </c>
      <c r="E37" s="1" t="s">
        <v>53</v>
      </c>
      <c r="F37" s="1" t="str">
        <f>_xlfn.XLOOKUP($B37,'August 2025'!B:B,'July 2025'!F:F)</f>
        <v>Overseas</v>
      </c>
      <c r="G37" s="11">
        <v>11000</v>
      </c>
      <c r="H37" s="1">
        <v>4613</v>
      </c>
      <c r="I37" s="1">
        <v>360</v>
      </c>
      <c r="J37" s="1">
        <v>150</v>
      </c>
      <c r="K37" s="1" t="str">
        <f>_xlfn.XLOOKUP('August 2025'!B37,'August 2025'!B:B,'July 2025'!K:K)</f>
        <v>L-10</v>
      </c>
    </row>
    <row r="38" spans="1:11" hidden="1" x14ac:dyDescent="0.3">
      <c r="A38" s="1">
        <v>37</v>
      </c>
      <c r="B38" s="1">
        <v>10027</v>
      </c>
      <c r="C38" s="1" t="s">
        <v>108</v>
      </c>
      <c r="D38" s="1" t="s">
        <v>565</v>
      </c>
      <c r="E38" s="1" t="s">
        <v>64</v>
      </c>
      <c r="F38" s="1" t="str">
        <f>_xlfn.XLOOKUP($B38,'August 2025'!B:B,'July 2025'!F:F)</f>
        <v>Domestic</v>
      </c>
      <c r="G38" s="11">
        <v>6500</v>
      </c>
      <c r="H38" s="1">
        <v>5452</v>
      </c>
      <c r="I38" s="1">
        <v>0</v>
      </c>
      <c r="J38" s="1">
        <v>0</v>
      </c>
      <c r="K38" s="1" t="str">
        <f>_xlfn.XLOOKUP('August 2025'!B38,'August 2025'!B:B,'July 2025'!K:K)</f>
        <v>L-7</v>
      </c>
    </row>
    <row r="39" spans="1:11" hidden="1" x14ac:dyDescent="0.3">
      <c r="A39" s="1">
        <v>38</v>
      </c>
      <c r="B39" s="1">
        <v>10032</v>
      </c>
      <c r="C39" s="1" t="s">
        <v>113</v>
      </c>
      <c r="D39" s="1" t="s">
        <v>565</v>
      </c>
      <c r="E39" s="1" t="s">
        <v>53</v>
      </c>
      <c r="F39" s="1" t="str">
        <f>_xlfn.XLOOKUP($B39,'August 2025'!B:B,'July 2025'!F:F)</f>
        <v>Manufacturing</v>
      </c>
      <c r="G39" s="11">
        <v>14500</v>
      </c>
      <c r="H39" s="1">
        <v>14032</v>
      </c>
      <c r="I39" s="1">
        <v>0</v>
      </c>
      <c r="J39" s="1">
        <v>0</v>
      </c>
      <c r="K39" s="1" t="str">
        <f>_xlfn.XLOOKUP('August 2025'!B39,'August 2025'!B:B,'July 2025'!K:K)</f>
        <v>L-10</v>
      </c>
    </row>
    <row r="40" spans="1:11" hidden="1" x14ac:dyDescent="0.3">
      <c r="A40" s="1">
        <v>39</v>
      </c>
      <c r="B40" s="1">
        <v>155</v>
      </c>
      <c r="C40" s="1" t="s">
        <v>117</v>
      </c>
      <c r="D40" s="1" t="s">
        <v>564</v>
      </c>
      <c r="E40" s="1" t="s">
        <v>35</v>
      </c>
      <c r="F40" s="1" t="str">
        <f>_xlfn.XLOOKUP($B40,'August 2025'!B:B,'July 2025'!F:F)</f>
        <v>Manufacturing</v>
      </c>
      <c r="G40" s="11">
        <v>14500</v>
      </c>
      <c r="H40" s="1">
        <v>10992</v>
      </c>
      <c r="I40" s="1">
        <v>857</v>
      </c>
      <c r="J40" s="1">
        <v>358</v>
      </c>
      <c r="K40" s="1" t="str">
        <f>_xlfn.XLOOKUP('August 2025'!B40,'August 2025'!B:B,'July 2025'!K:K)</f>
        <v>L-9</v>
      </c>
    </row>
    <row r="41" spans="1:11" hidden="1" x14ac:dyDescent="0.3">
      <c r="A41" s="1">
        <v>40</v>
      </c>
      <c r="B41" s="1">
        <v>152</v>
      </c>
      <c r="C41" s="1" t="s">
        <v>118</v>
      </c>
      <c r="D41" s="1" t="s">
        <v>568</v>
      </c>
      <c r="E41" s="1" t="s">
        <v>35</v>
      </c>
      <c r="F41" s="1" t="str">
        <f>_xlfn.XLOOKUP($B41,'August 2025'!B:B,'July 2025'!F:F)</f>
        <v>Manufacturing</v>
      </c>
      <c r="G41" s="11">
        <v>15000</v>
      </c>
      <c r="H41" s="1">
        <v>12580</v>
      </c>
      <c r="I41" s="1">
        <v>981</v>
      </c>
      <c r="J41" s="1">
        <v>409</v>
      </c>
      <c r="K41" s="1" t="str">
        <f>_xlfn.XLOOKUP('August 2025'!B41,'August 2025'!B:B,'July 2025'!K:K)</f>
        <v>L-9</v>
      </c>
    </row>
    <row r="42" spans="1:11" hidden="1" x14ac:dyDescent="0.3">
      <c r="A42" s="1">
        <v>41</v>
      </c>
      <c r="B42" s="1">
        <v>10041</v>
      </c>
      <c r="C42" s="1" t="s">
        <v>122</v>
      </c>
      <c r="D42" s="1" t="s">
        <v>565</v>
      </c>
      <c r="E42" s="1" t="s">
        <v>35</v>
      </c>
      <c r="F42" s="1" t="str">
        <f>_xlfn.XLOOKUP($B42,'August 2025'!B:B,'July 2025'!F:F)</f>
        <v>Manufacturing</v>
      </c>
      <c r="G42" s="11">
        <v>14000</v>
      </c>
      <c r="H42" s="1">
        <v>11290</v>
      </c>
      <c r="I42" s="1">
        <v>0</v>
      </c>
      <c r="J42" s="1">
        <v>0</v>
      </c>
      <c r="K42" s="1" t="str">
        <f>_xlfn.XLOOKUP('August 2025'!B42,'August 2025'!B:B,'July 2025'!K:K)</f>
        <v>L-9</v>
      </c>
    </row>
    <row r="43" spans="1:11" hidden="1" x14ac:dyDescent="0.3">
      <c r="A43" s="1">
        <v>42</v>
      </c>
      <c r="B43" s="1">
        <v>10043</v>
      </c>
      <c r="C43" s="1" t="s">
        <v>124</v>
      </c>
      <c r="D43" s="1" t="s">
        <v>565</v>
      </c>
      <c r="E43" s="1" t="s">
        <v>35</v>
      </c>
      <c r="F43" s="1" t="str">
        <f>_xlfn.XLOOKUP($B43,'August 2025'!B:B,'July 2025'!F:F)</f>
        <v>Domestic</v>
      </c>
      <c r="G43" s="11">
        <v>13500</v>
      </c>
      <c r="H43" s="1">
        <v>13500</v>
      </c>
      <c r="I43" s="1">
        <v>0</v>
      </c>
      <c r="J43" s="1">
        <v>0</v>
      </c>
      <c r="K43" s="1" t="s">
        <v>555</v>
      </c>
    </row>
    <row r="44" spans="1:11" hidden="1" x14ac:dyDescent="0.3">
      <c r="A44" s="1">
        <v>43</v>
      </c>
      <c r="B44" s="1">
        <v>125</v>
      </c>
      <c r="C44" s="1" t="s">
        <v>127</v>
      </c>
      <c r="D44" s="1" t="s">
        <v>564</v>
      </c>
      <c r="E44" s="1" t="s">
        <v>10</v>
      </c>
      <c r="F44" s="1" t="str">
        <f>_xlfn.XLOOKUP($B44,'August 2025'!B:B,'July 2025'!F:F)</f>
        <v>Domestic</v>
      </c>
      <c r="G44" s="11">
        <v>18000</v>
      </c>
      <c r="H44" s="1">
        <v>18000</v>
      </c>
      <c r="I44" s="1">
        <v>1404</v>
      </c>
      <c r="J44" s="1">
        <v>585</v>
      </c>
      <c r="K44" s="1" t="str">
        <f>_xlfn.XLOOKUP('August 2025'!B44,'August 2025'!B:B,'July 2025'!K:K)</f>
        <v>L-7</v>
      </c>
    </row>
    <row r="45" spans="1:11" hidden="1" x14ac:dyDescent="0.3">
      <c r="A45" s="1">
        <v>44</v>
      </c>
      <c r="B45" s="1">
        <v>167</v>
      </c>
      <c r="C45" s="1" t="s">
        <v>129</v>
      </c>
      <c r="D45" s="1" t="s">
        <v>564</v>
      </c>
      <c r="E45" s="1" t="s">
        <v>130</v>
      </c>
      <c r="F45" s="1" t="str">
        <f>_xlfn.XLOOKUP($B45,'August 2025'!B:B,'July 2025'!F:F)</f>
        <v>Manufacturing</v>
      </c>
      <c r="G45" s="11">
        <v>11000</v>
      </c>
      <c r="H45" s="1">
        <v>10645</v>
      </c>
      <c r="I45" s="1">
        <v>830</v>
      </c>
      <c r="J45" s="1">
        <v>346</v>
      </c>
      <c r="K45" s="1" t="str">
        <f>_xlfn.XLOOKUP('August 2025'!B45,'August 2025'!B:B,'July 2025'!K:K)</f>
        <v>L-9</v>
      </c>
    </row>
    <row r="46" spans="1:11" hidden="1" x14ac:dyDescent="0.3">
      <c r="A46" s="1">
        <v>45</v>
      </c>
      <c r="B46" s="1">
        <v>10049</v>
      </c>
      <c r="C46" s="1" t="s">
        <v>131</v>
      </c>
      <c r="D46" s="1" t="s">
        <v>565</v>
      </c>
      <c r="E46" s="1" t="s">
        <v>53</v>
      </c>
      <c r="F46" s="1" t="str">
        <f>_xlfn.XLOOKUP($B46,'August 2025'!B:B,'July 2025'!F:F)</f>
        <v>Domestic</v>
      </c>
      <c r="G46" s="11">
        <v>13000</v>
      </c>
      <c r="H46" s="1">
        <v>5871</v>
      </c>
      <c r="I46" s="1">
        <v>0</v>
      </c>
      <c r="J46" s="1">
        <v>0</v>
      </c>
      <c r="K46" s="1" t="str">
        <f>_xlfn.XLOOKUP('August 2025'!B46,'August 2025'!B:B,'July 2025'!K:K)</f>
        <v>L-10</v>
      </c>
    </row>
    <row r="47" spans="1:11" x14ac:dyDescent="0.3">
      <c r="A47" s="1">
        <v>46</v>
      </c>
      <c r="B47" s="1">
        <v>37</v>
      </c>
      <c r="C47" s="1" t="s">
        <v>570</v>
      </c>
      <c r="D47" s="1" t="s">
        <v>564</v>
      </c>
      <c r="E47" s="1" t="s">
        <v>64</v>
      </c>
      <c r="F47" s="1" t="str">
        <f>_xlfn.XLOOKUP($B47,'August 2025'!B:B,'July 2025'!F:F)</f>
        <v>Overseas</v>
      </c>
      <c r="G47" s="11">
        <v>44000</v>
      </c>
      <c r="H47" s="1">
        <v>41871</v>
      </c>
      <c r="I47" s="1">
        <v>0</v>
      </c>
      <c r="J47" s="1">
        <v>0</v>
      </c>
      <c r="K47" s="1" t="str">
        <f>_xlfn.XLOOKUP('August 2025'!B47,'August 2025'!B:B,'July 2025'!K:K)</f>
        <v>L-6</v>
      </c>
    </row>
    <row r="48" spans="1:11" hidden="1" x14ac:dyDescent="0.3">
      <c r="A48" s="1">
        <v>47</v>
      </c>
      <c r="B48" s="1">
        <v>38</v>
      </c>
      <c r="C48" s="1" t="s">
        <v>65</v>
      </c>
      <c r="D48" s="1" t="s">
        <v>564</v>
      </c>
      <c r="E48" s="1" t="s">
        <v>64</v>
      </c>
      <c r="F48" s="1" t="str">
        <f>_xlfn.XLOOKUP($B48,'August 2025'!B:B,'July 2025'!F:F)</f>
        <v xml:space="preserve">Admin </v>
      </c>
      <c r="G48" s="11">
        <v>50000</v>
      </c>
      <c r="H48" s="1">
        <v>50000</v>
      </c>
      <c r="I48" s="1">
        <v>0</v>
      </c>
      <c r="J48" s="1">
        <v>0</v>
      </c>
      <c r="K48" s="1" t="str">
        <f>_xlfn.XLOOKUP('August 2025'!B48,'August 2025'!B:B,'July 2025'!K:K)</f>
        <v>L-5</v>
      </c>
    </row>
    <row r="49" spans="1:11" hidden="1" x14ac:dyDescent="0.3">
      <c r="A49" s="1">
        <v>48</v>
      </c>
      <c r="B49" s="1">
        <v>39</v>
      </c>
      <c r="C49" s="1" t="s">
        <v>66</v>
      </c>
      <c r="D49" s="1" t="s">
        <v>564</v>
      </c>
      <c r="E49" s="1" t="s">
        <v>67</v>
      </c>
      <c r="F49" s="1" t="str">
        <f>_xlfn.XLOOKUP($B49,'August 2025'!B:B,'July 2025'!F:F)</f>
        <v>Manufacturing</v>
      </c>
      <c r="G49" s="11">
        <v>30000</v>
      </c>
      <c r="H49" s="1">
        <v>0</v>
      </c>
      <c r="I49" s="1">
        <v>0</v>
      </c>
      <c r="J49" s="1">
        <v>0</v>
      </c>
      <c r="K49" s="1" t="s">
        <v>555</v>
      </c>
    </row>
    <row r="50" spans="1:11" hidden="1" x14ac:dyDescent="0.3">
      <c r="A50" s="1">
        <v>49</v>
      </c>
      <c r="B50" s="1">
        <v>40</v>
      </c>
      <c r="C50" s="1" t="s">
        <v>68</v>
      </c>
      <c r="D50" s="1" t="s">
        <v>564</v>
      </c>
      <c r="E50" s="1" t="s">
        <v>67</v>
      </c>
      <c r="F50" s="1" t="str">
        <f>_xlfn.XLOOKUP($B50,'August 2025'!B:B,'July 2025'!F:F)</f>
        <v>Manufacturing</v>
      </c>
      <c r="G50" s="11">
        <v>30000</v>
      </c>
      <c r="H50" s="1">
        <v>26295</v>
      </c>
      <c r="I50" s="1">
        <v>0</v>
      </c>
      <c r="J50" s="1">
        <v>0</v>
      </c>
      <c r="K50" s="1" t="s">
        <v>555</v>
      </c>
    </row>
    <row r="51" spans="1:11" hidden="1" x14ac:dyDescent="0.3">
      <c r="A51" s="1">
        <v>50</v>
      </c>
      <c r="B51" s="1">
        <v>42</v>
      </c>
      <c r="C51" s="1" t="s">
        <v>70</v>
      </c>
      <c r="D51" s="1" t="s">
        <v>564</v>
      </c>
      <c r="E51" s="1" t="s">
        <v>67</v>
      </c>
      <c r="F51" s="1" t="str">
        <f>_xlfn.XLOOKUP($B51,'August 2025'!B:B,'July 2025'!F:F)</f>
        <v>Manufacturing</v>
      </c>
      <c r="G51" s="11">
        <v>30000</v>
      </c>
      <c r="H51" s="1">
        <v>22210</v>
      </c>
      <c r="I51" s="1">
        <v>0</v>
      </c>
      <c r="J51" s="1">
        <v>0</v>
      </c>
      <c r="K51" s="1" t="s">
        <v>555</v>
      </c>
    </row>
    <row r="52" spans="1:11" hidden="1" x14ac:dyDescent="0.3">
      <c r="A52" s="1">
        <v>51</v>
      </c>
      <c r="B52" s="1">
        <v>43</v>
      </c>
      <c r="C52" s="1" t="s">
        <v>71</v>
      </c>
      <c r="D52" s="1" t="s">
        <v>564</v>
      </c>
      <c r="E52" s="1" t="s">
        <v>67</v>
      </c>
      <c r="F52" s="1" t="str">
        <f>_xlfn.XLOOKUP($B52,'August 2025'!B:B,'July 2025'!F:F)</f>
        <v>Manufacturing</v>
      </c>
      <c r="G52" s="11">
        <v>30000</v>
      </c>
      <c r="H52" s="1">
        <v>25390</v>
      </c>
      <c r="I52" s="1">
        <v>0</v>
      </c>
      <c r="J52" s="1">
        <v>0</v>
      </c>
      <c r="K52" s="1" t="s">
        <v>555</v>
      </c>
    </row>
    <row r="53" spans="1:11" hidden="1" x14ac:dyDescent="0.3">
      <c r="A53" s="1">
        <v>52</v>
      </c>
      <c r="B53" s="1">
        <v>44</v>
      </c>
      <c r="C53" s="1" t="s">
        <v>72</v>
      </c>
      <c r="D53" s="1" t="s">
        <v>564</v>
      </c>
      <c r="E53" s="1" t="s">
        <v>67</v>
      </c>
      <c r="F53" s="1" t="str">
        <f>_xlfn.XLOOKUP($B53,'August 2025'!B:B,'July 2025'!F:F)</f>
        <v>Manufacturing</v>
      </c>
      <c r="G53" s="11">
        <v>30000</v>
      </c>
      <c r="H53" s="1">
        <v>11862</v>
      </c>
      <c r="I53" s="1">
        <v>0</v>
      </c>
      <c r="J53" s="1">
        <v>0</v>
      </c>
      <c r="K53" s="1" t="s">
        <v>555</v>
      </c>
    </row>
    <row r="54" spans="1:11" hidden="1" x14ac:dyDescent="0.3">
      <c r="A54" s="1">
        <v>53</v>
      </c>
      <c r="B54" s="1">
        <v>126</v>
      </c>
      <c r="C54" s="1" t="s">
        <v>136</v>
      </c>
      <c r="D54" s="1" t="s">
        <v>564</v>
      </c>
      <c r="E54" s="1" t="s">
        <v>55</v>
      </c>
      <c r="F54" s="1" t="str">
        <f>_xlfn.XLOOKUP($B54,'August 2025'!B:B,'July 2025'!F:F)</f>
        <v>Domestic</v>
      </c>
      <c r="G54" s="11">
        <v>15000</v>
      </c>
      <c r="H54" s="1">
        <v>14516</v>
      </c>
      <c r="I54" s="1">
        <v>1132</v>
      </c>
      <c r="J54" s="1">
        <v>472</v>
      </c>
      <c r="K54" s="1" t="str">
        <f>_xlfn.XLOOKUP('August 2025'!B54,'August 2025'!B:B,'July 2025'!K:K)</f>
        <v>L-7</v>
      </c>
    </row>
    <row r="55" spans="1:11" hidden="1" x14ac:dyDescent="0.3">
      <c r="A55" s="1">
        <v>54</v>
      </c>
      <c r="B55" s="1">
        <v>127</v>
      </c>
      <c r="C55" s="1" t="s">
        <v>137</v>
      </c>
      <c r="D55" s="1" t="s">
        <v>564</v>
      </c>
      <c r="E55" s="1" t="s">
        <v>10</v>
      </c>
      <c r="F55" s="1" t="str">
        <f>_xlfn.XLOOKUP($B55,'August 2025'!B:B,'July 2025'!F:F)</f>
        <v>Domestic</v>
      </c>
      <c r="G55" s="11">
        <v>16500</v>
      </c>
      <c r="H55" s="1">
        <v>16500</v>
      </c>
      <c r="I55" s="1">
        <v>1287</v>
      </c>
      <c r="J55" s="1">
        <v>537</v>
      </c>
      <c r="K55" s="1" t="str">
        <f>_xlfn.XLOOKUP('August 2025'!B55,'August 2025'!B:B,'July 2025'!K:K)</f>
        <v>L-7</v>
      </c>
    </row>
    <row r="56" spans="1:11" hidden="1" x14ac:dyDescent="0.3">
      <c r="A56" s="1">
        <v>55</v>
      </c>
      <c r="B56" s="1">
        <v>10055</v>
      </c>
      <c r="C56" s="1" t="s">
        <v>138</v>
      </c>
      <c r="D56" s="1" t="s">
        <v>565</v>
      </c>
      <c r="E56" s="1" t="s">
        <v>53</v>
      </c>
      <c r="F56" s="1" t="str">
        <f>_xlfn.XLOOKUP($B56,'August 2025'!B:B,'July 2025'!F:F)</f>
        <v>Domestic</v>
      </c>
      <c r="G56" s="11">
        <v>13500</v>
      </c>
      <c r="H56" s="1">
        <v>12629</v>
      </c>
      <c r="I56" s="1">
        <v>0</v>
      </c>
      <c r="J56" s="1">
        <v>0</v>
      </c>
      <c r="K56" s="1" t="str">
        <f>_xlfn.XLOOKUP('August 2025'!B56,'August 2025'!B:B,'July 2025'!K:K)</f>
        <v>L-10</v>
      </c>
    </row>
    <row r="57" spans="1:11" hidden="1" x14ac:dyDescent="0.3">
      <c r="A57" s="1">
        <v>56</v>
      </c>
      <c r="B57" s="1">
        <v>137</v>
      </c>
      <c r="C57" s="1" t="s">
        <v>140</v>
      </c>
      <c r="D57" s="1" t="s">
        <v>564</v>
      </c>
      <c r="E57" s="1" t="s">
        <v>12</v>
      </c>
      <c r="F57" s="1" t="str">
        <f>_xlfn.XLOOKUP($B57,'August 2025'!B:B,'July 2025'!F:F)</f>
        <v>Manufacturing</v>
      </c>
      <c r="G57" s="11">
        <v>22000</v>
      </c>
      <c r="H57" s="1">
        <v>22000</v>
      </c>
      <c r="I57" s="1">
        <v>1716</v>
      </c>
      <c r="J57" s="1">
        <v>0</v>
      </c>
      <c r="K57" s="1" t="s">
        <v>554</v>
      </c>
    </row>
    <row r="58" spans="1:11" hidden="1" x14ac:dyDescent="0.3">
      <c r="A58" s="1">
        <v>57</v>
      </c>
      <c r="B58" s="1">
        <v>10061</v>
      </c>
      <c r="C58" s="1" t="s">
        <v>144</v>
      </c>
      <c r="D58" s="1" t="s">
        <v>565</v>
      </c>
      <c r="E58" s="1" t="s">
        <v>8</v>
      </c>
      <c r="F58" s="1" t="str">
        <f>_xlfn.XLOOKUP($B58,'August 2025'!B:B,'July 2025'!F:F)</f>
        <v>Manufacturing</v>
      </c>
      <c r="G58" s="11">
        <v>8800</v>
      </c>
      <c r="H58" s="1">
        <v>2555</v>
      </c>
      <c r="I58" s="1">
        <v>0</v>
      </c>
      <c r="J58" s="1">
        <v>0</v>
      </c>
      <c r="K58" s="1" t="str">
        <f>_xlfn.XLOOKUP('August 2025'!B58,'August 2025'!B:B,'July 2025'!K:K)</f>
        <v>L-9</v>
      </c>
    </row>
    <row r="59" spans="1:11" hidden="1" x14ac:dyDescent="0.3">
      <c r="A59" s="1">
        <v>58</v>
      </c>
      <c r="B59" s="1">
        <v>10062</v>
      </c>
      <c r="C59" s="1" t="s">
        <v>145</v>
      </c>
      <c r="D59" s="1" t="s">
        <v>565</v>
      </c>
      <c r="E59" s="1" t="s">
        <v>53</v>
      </c>
      <c r="F59" s="1" t="str">
        <f>_xlfn.XLOOKUP($B59,'August 2025'!B:B,'July 2025'!F:F)</f>
        <v>Manufacturing</v>
      </c>
      <c r="G59" s="11">
        <v>11000</v>
      </c>
      <c r="H59" s="1">
        <v>11000</v>
      </c>
      <c r="I59" s="1">
        <v>0</v>
      </c>
      <c r="J59" s="1">
        <v>0</v>
      </c>
      <c r="K59" s="1" t="str">
        <f>_xlfn.XLOOKUP('August 2025'!B59,'August 2025'!B:B,'July 2025'!K:K)</f>
        <v>L-10</v>
      </c>
    </row>
    <row r="60" spans="1:11" hidden="1" x14ac:dyDescent="0.3">
      <c r="A60" s="1">
        <v>59</v>
      </c>
      <c r="B60" s="1">
        <v>10063</v>
      </c>
      <c r="C60" s="1" t="s">
        <v>146</v>
      </c>
      <c r="D60" s="1" t="s">
        <v>565</v>
      </c>
      <c r="E60" s="1" t="s">
        <v>53</v>
      </c>
      <c r="F60" s="1" t="str">
        <f>_xlfn.XLOOKUP($B60,'August 2025'!B:B,'July 2025'!F:F)</f>
        <v>Manufacturing</v>
      </c>
      <c r="G60" s="11">
        <v>11000</v>
      </c>
      <c r="H60" s="1">
        <v>9225</v>
      </c>
      <c r="I60" s="1">
        <v>0</v>
      </c>
      <c r="J60" s="1">
        <v>0</v>
      </c>
      <c r="K60" s="1" t="str">
        <f>_xlfn.XLOOKUP('August 2025'!B60,'August 2025'!B:B,'July 2025'!K:K)</f>
        <v>L-10</v>
      </c>
    </row>
    <row r="61" spans="1:11" hidden="1" x14ac:dyDescent="0.3">
      <c r="A61" s="1">
        <v>60</v>
      </c>
      <c r="B61" s="1">
        <v>10064</v>
      </c>
      <c r="C61" s="1" t="s">
        <v>147</v>
      </c>
      <c r="D61" s="1" t="s">
        <v>565</v>
      </c>
      <c r="E61" s="1" t="s">
        <v>35</v>
      </c>
      <c r="F61" s="1" t="str">
        <f>_xlfn.XLOOKUP($B61,'August 2025'!B:B,'July 2025'!F:F)</f>
        <v>Manufacturing</v>
      </c>
      <c r="G61" s="11">
        <v>14300</v>
      </c>
      <c r="H61" s="1">
        <v>13838</v>
      </c>
      <c r="I61" s="1">
        <v>0</v>
      </c>
      <c r="J61" s="1">
        <v>0</v>
      </c>
      <c r="K61" s="1" t="str">
        <f>_xlfn.XLOOKUP('August 2025'!B61,'August 2025'!B:B,'July 2025'!K:K)</f>
        <v>L-9</v>
      </c>
    </row>
    <row r="62" spans="1:11" hidden="1" x14ac:dyDescent="0.3">
      <c r="A62" s="1">
        <v>61</v>
      </c>
      <c r="B62" s="1">
        <v>156</v>
      </c>
      <c r="C62" s="1" t="s">
        <v>187</v>
      </c>
      <c r="D62" s="1" t="s">
        <v>564</v>
      </c>
      <c r="E62" s="1" t="s">
        <v>35</v>
      </c>
      <c r="F62" s="1" t="str">
        <f>_xlfn.XLOOKUP($B62,'August 2025'!B:B,'July 2025'!F:F)</f>
        <v>Manufacturing</v>
      </c>
      <c r="G62" s="11">
        <v>12500</v>
      </c>
      <c r="H62" s="1">
        <v>8670</v>
      </c>
      <c r="I62" s="1">
        <v>676</v>
      </c>
      <c r="J62" s="1">
        <v>282</v>
      </c>
      <c r="K62" s="1" t="str">
        <f>_xlfn.XLOOKUP('August 2025'!B62,'August 2025'!B:B,'July 2025'!K:K)</f>
        <v>L-9</v>
      </c>
    </row>
    <row r="63" spans="1:11" hidden="1" x14ac:dyDescent="0.3">
      <c r="A63" s="1">
        <v>62</v>
      </c>
      <c r="B63" s="1">
        <v>10069</v>
      </c>
      <c r="C63" s="1" t="s">
        <v>151</v>
      </c>
      <c r="D63" s="1" t="s">
        <v>565</v>
      </c>
      <c r="E63" s="1" t="s">
        <v>35</v>
      </c>
      <c r="F63" s="1" t="str">
        <f>_xlfn.XLOOKUP($B63,'August 2025'!B:B,'July 2025'!F:F)</f>
        <v>Manufacturing</v>
      </c>
      <c r="G63" s="11">
        <v>14500</v>
      </c>
      <c r="H63" s="1">
        <v>14500</v>
      </c>
      <c r="I63" s="1">
        <v>0</v>
      </c>
      <c r="J63" s="1">
        <v>0</v>
      </c>
      <c r="K63" s="1" t="str">
        <f>_xlfn.XLOOKUP('August 2025'!B63,'August 2025'!B:B,'July 2025'!K:K)</f>
        <v>L-9</v>
      </c>
    </row>
    <row r="64" spans="1:11" hidden="1" x14ac:dyDescent="0.3">
      <c r="A64" s="1">
        <v>63</v>
      </c>
      <c r="B64" s="1">
        <v>48</v>
      </c>
      <c r="C64" s="1" t="s">
        <v>77</v>
      </c>
      <c r="D64" s="1" t="s">
        <v>564</v>
      </c>
      <c r="E64" s="1" t="s">
        <v>67</v>
      </c>
      <c r="F64" s="1" t="str">
        <f>_xlfn.XLOOKUP($B64,'August 2025'!B:B,'July 2025'!F:F)</f>
        <v>Manufacturing</v>
      </c>
      <c r="G64" s="11">
        <v>30000</v>
      </c>
      <c r="H64" s="1">
        <v>28695</v>
      </c>
      <c r="I64" s="1">
        <v>0</v>
      </c>
      <c r="J64" s="1">
        <v>0</v>
      </c>
      <c r="K64" s="1" t="s">
        <v>555</v>
      </c>
    </row>
    <row r="65" spans="1:11" hidden="1" x14ac:dyDescent="0.3">
      <c r="A65" s="1">
        <v>64</v>
      </c>
      <c r="B65" s="1">
        <v>10070</v>
      </c>
      <c r="C65" s="1" t="s">
        <v>152</v>
      </c>
      <c r="D65" s="1" t="s">
        <v>565</v>
      </c>
      <c r="E65" s="1" t="s">
        <v>35</v>
      </c>
      <c r="F65" s="1" t="str">
        <f>_xlfn.XLOOKUP($B65,'August 2025'!B:B,'July 2025'!F:F)</f>
        <v>Manufacturing</v>
      </c>
      <c r="G65" s="11">
        <v>14500</v>
      </c>
      <c r="H65" s="1">
        <v>14032</v>
      </c>
      <c r="I65" s="1">
        <v>0</v>
      </c>
      <c r="J65" s="1">
        <v>0</v>
      </c>
      <c r="K65" s="1" t="str">
        <f>_xlfn.XLOOKUP('August 2025'!B65,'August 2025'!B:B,'July 2025'!K:K)</f>
        <v>L-9</v>
      </c>
    </row>
    <row r="66" spans="1:11" x14ac:dyDescent="0.3">
      <c r="A66" s="1">
        <v>65</v>
      </c>
      <c r="B66" s="1">
        <v>46</v>
      </c>
      <c r="C66" s="1" t="s">
        <v>74</v>
      </c>
      <c r="D66" s="1" t="s">
        <v>564</v>
      </c>
      <c r="E66" s="1" t="s">
        <v>42</v>
      </c>
      <c r="F66" s="1" t="str">
        <f>_xlfn.XLOOKUP($B66,'August 2025'!B:B,'July 2025'!F:F)</f>
        <v>Overseas</v>
      </c>
      <c r="G66" s="11">
        <v>80000</v>
      </c>
      <c r="H66" s="1">
        <v>80000</v>
      </c>
      <c r="I66" s="1">
        <v>0</v>
      </c>
      <c r="J66" s="1">
        <v>0</v>
      </c>
      <c r="K66" s="1" t="s">
        <v>552</v>
      </c>
    </row>
    <row r="67" spans="1:11" hidden="1" x14ac:dyDescent="0.3">
      <c r="A67" s="1">
        <v>66</v>
      </c>
      <c r="B67" s="1">
        <v>10076</v>
      </c>
      <c r="C67" s="1" t="s">
        <v>157</v>
      </c>
      <c r="D67" s="1" t="s">
        <v>565</v>
      </c>
      <c r="E67" s="1" t="s">
        <v>61</v>
      </c>
      <c r="F67" s="1" t="str">
        <f>_xlfn.XLOOKUP($B67,'August 2025'!B:B,'July 2025'!F:F)</f>
        <v>Manufacturing</v>
      </c>
      <c r="G67" s="11">
        <v>12500</v>
      </c>
      <c r="H67" s="1">
        <v>9476</v>
      </c>
      <c r="I67" s="1">
        <v>0</v>
      </c>
      <c r="J67" s="1">
        <v>0</v>
      </c>
      <c r="K67" s="1" t="str">
        <f>_xlfn.XLOOKUP('August 2025'!B67,'August 2025'!B:B,'July 2025'!K:K)</f>
        <v>L-9</v>
      </c>
    </row>
    <row r="68" spans="1:11" hidden="1" x14ac:dyDescent="0.3">
      <c r="A68" s="1">
        <v>67</v>
      </c>
      <c r="B68" s="1">
        <v>128</v>
      </c>
      <c r="C68" s="1" t="s">
        <v>159</v>
      </c>
      <c r="D68" s="1" t="s">
        <v>564</v>
      </c>
      <c r="E68" s="1" t="s">
        <v>12</v>
      </c>
      <c r="F68" s="1" t="str">
        <f>_xlfn.XLOOKUP($B68,'August 2025'!B:B,'July 2025'!F:F)</f>
        <v>Manufacturing</v>
      </c>
      <c r="G68" s="11">
        <v>19000</v>
      </c>
      <c r="H68" s="1">
        <v>18387</v>
      </c>
      <c r="I68" s="1">
        <v>1912</v>
      </c>
      <c r="J68" s="1">
        <v>598</v>
      </c>
      <c r="K68" s="1" t="s">
        <v>554</v>
      </c>
    </row>
    <row r="69" spans="1:11" hidden="1" x14ac:dyDescent="0.3">
      <c r="A69" s="1">
        <v>68</v>
      </c>
      <c r="B69" s="1">
        <v>10084</v>
      </c>
      <c r="C69" s="1" t="s">
        <v>165</v>
      </c>
      <c r="D69" s="1" t="s">
        <v>565</v>
      </c>
      <c r="E69" s="1" t="s">
        <v>35</v>
      </c>
      <c r="F69" s="1" t="str">
        <f>_xlfn.XLOOKUP($B69,'August 2025'!B:B,'July 2025'!F:F)</f>
        <v>Manufacturing</v>
      </c>
      <c r="G69" s="11">
        <v>12000</v>
      </c>
      <c r="H69" s="1">
        <v>5032</v>
      </c>
      <c r="I69" s="1">
        <v>0</v>
      </c>
      <c r="J69" s="1">
        <v>0</v>
      </c>
      <c r="K69" s="1" t="str">
        <f>_xlfn.XLOOKUP('August 2025'!B69,'August 2025'!B:B,'July 2025'!K:K)</f>
        <v>L-9</v>
      </c>
    </row>
    <row r="70" spans="1:11" hidden="1" x14ac:dyDescent="0.3">
      <c r="A70" s="1">
        <v>69</v>
      </c>
      <c r="B70" s="1">
        <v>49</v>
      </c>
      <c r="C70" s="1" t="s">
        <v>78</v>
      </c>
      <c r="D70" s="1" t="s">
        <v>564</v>
      </c>
      <c r="E70" s="1" t="s">
        <v>67</v>
      </c>
      <c r="F70" s="1" t="str">
        <f>_xlfn.XLOOKUP($B70,'August 2025'!B:B,'July 2025'!F:F)</f>
        <v>Domestic</v>
      </c>
      <c r="G70" s="11">
        <v>30000</v>
      </c>
      <c r="H70" s="1">
        <v>33000</v>
      </c>
      <c r="I70" s="1">
        <v>0</v>
      </c>
      <c r="J70" s="1">
        <v>0</v>
      </c>
      <c r="K70" s="1" t="s">
        <v>554</v>
      </c>
    </row>
    <row r="71" spans="1:11" hidden="1" x14ac:dyDescent="0.3">
      <c r="A71" s="1">
        <v>70</v>
      </c>
      <c r="B71" s="1">
        <v>50</v>
      </c>
      <c r="C71" s="1" t="s">
        <v>199</v>
      </c>
      <c r="D71" s="1" t="s">
        <v>564</v>
      </c>
      <c r="E71" s="1" t="s">
        <v>10</v>
      </c>
      <c r="F71" s="1" t="s">
        <v>504</v>
      </c>
      <c r="G71" s="11">
        <v>30000</v>
      </c>
      <c r="H71" s="1">
        <v>28548</v>
      </c>
      <c r="I71" s="1">
        <v>0</v>
      </c>
      <c r="J71" s="1">
        <v>0</v>
      </c>
      <c r="K71" s="1" t="s">
        <v>553</v>
      </c>
    </row>
    <row r="72" spans="1:11" hidden="1" x14ac:dyDescent="0.3">
      <c r="A72" s="1">
        <v>71</v>
      </c>
      <c r="B72" s="1">
        <v>129</v>
      </c>
      <c r="C72" s="1" t="s">
        <v>204</v>
      </c>
      <c r="D72" s="1" t="s">
        <v>564</v>
      </c>
      <c r="E72" s="1" t="s">
        <v>41</v>
      </c>
      <c r="F72" s="1" t="str">
        <f>_xlfn.XLOOKUP($B72,'August 2025'!B:B,'July 2025'!F:F)</f>
        <v>Manufacturing</v>
      </c>
      <c r="G72" s="11">
        <v>17000</v>
      </c>
      <c r="H72" s="1">
        <v>17000</v>
      </c>
      <c r="I72" s="1">
        <v>1326</v>
      </c>
      <c r="J72" s="1">
        <v>553</v>
      </c>
      <c r="K72" s="1" t="str">
        <f>_xlfn.XLOOKUP('August 2025'!B72,'August 2025'!B:B,'July 2025'!K:K)</f>
        <v>L-9</v>
      </c>
    </row>
    <row r="73" spans="1:11" hidden="1" x14ac:dyDescent="0.3">
      <c r="A73" s="1">
        <v>72</v>
      </c>
      <c r="B73" s="1">
        <v>10096</v>
      </c>
      <c r="C73" s="1" t="s">
        <v>210</v>
      </c>
      <c r="D73" s="1" t="s">
        <v>565</v>
      </c>
      <c r="E73" s="1" t="s">
        <v>61</v>
      </c>
      <c r="F73" s="1" t="str">
        <f>_xlfn.XLOOKUP($B73,'August 2025'!B:B,'July 2025'!F:F)</f>
        <v>Manufacturing</v>
      </c>
      <c r="G73" s="11">
        <v>13000</v>
      </c>
      <c r="H73" s="1">
        <v>12580</v>
      </c>
      <c r="I73" s="1">
        <v>0</v>
      </c>
      <c r="J73" s="1">
        <v>0</v>
      </c>
      <c r="K73" s="1" t="str">
        <f>_xlfn.XLOOKUP('August 2025'!B73,'August 2025'!B:B,'July 2025'!K:K)</f>
        <v>L-9</v>
      </c>
    </row>
    <row r="74" spans="1:11" hidden="1" x14ac:dyDescent="0.3">
      <c r="A74" s="1">
        <v>73</v>
      </c>
      <c r="B74" s="1">
        <v>56</v>
      </c>
      <c r="C74" s="1" t="s">
        <v>219</v>
      </c>
      <c r="D74" s="1" t="s">
        <v>564</v>
      </c>
      <c r="E74" s="1" t="s">
        <v>67</v>
      </c>
      <c r="F74" s="1" t="str">
        <f>_xlfn.XLOOKUP($B74,'August 2025'!B:B,'July 2025'!F:F)</f>
        <v>Domestic</v>
      </c>
      <c r="G74" s="11">
        <v>30000</v>
      </c>
      <c r="H74" s="1">
        <v>21297</v>
      </c>
      <c r="I74" s="1">
        <v>0</v>
      </c>
      <c r="J74" s="1">
        <v>0</v>
      </c>
      <c r="K74" s="1" t="s">
        <v>554</v>
      </c>
    </row>
    <row r="75" spans="1:11" hidden="1" x14ac:dyDescent="0.3">
      <c r="A75" s="1">
        <v>74</v>
      </c>
      <c r="B75" s="1">
        <v>10099</v>
      </c>
      <c r="C75" s="1" t="s">
        <v>212</v>
      </c>
      <c r="D75" s="1" t="s">
        <v>565</v>
      </c>
      <c r="E75" s="1" t="s">
        <v>53</v>
      </c>
      <c r="F75" s="1" t="str">
        <f>_xlfn.XLOOKUP($B75,'August 2025'!B:B,'July 2025'!F:F)</f>
        <v>Manufacturing</v>
      </c>
      <c r="G75" s="11">
        <v>11000</v>
      </c>
      <c r="H75" s="1">
        <v>10645</v>
      </c>
      <c r="I75" s="1">
        <v>0</v>
      </c>
      <c r="J75" s="1">
        <v>0</v>
      </c>
      <c r="K75" s="1" t="str">
        <f>_xlfn.XLOOKUP('August 2025'!B75,'August 2025'!B:B,'July 2025'!K:K)</f>
        <v>L-9</v>
      </c>
    </row>
    <row r="76" spans="1:11" hidden="1" x14ac:dyDescent="0.3">
      <c r="A76" s="1">
        <v>75</v>
      </c>
      <c r="B76" s="1">
        <v>55</v>
      </c>
      <c r="C76" s="1" t="s">
        <v>218</v>
      </c>
      <c r="D76" s="1" t="s">
        <v>564</v>
      </c>
      <c r="E76" s="1" t="s">
        <v>67</v>
      </c>
      <c r="F76" s="1" t="str">
        <f>_xlfn.XLOOKUP($B76,'August 2025'!B:B,'July 2025'!F:F)</f>
        <v>Manufacturing</v>
      </c>
      <c r="G76" s="11">
        <v>30000</v>
      </c>
      <c r="H76" s="1">
        <v>22002</v>
      </c>
      <c r="I76" s="1">
        <v>0</v>
      </c>
      <c r="J76" s="1">
        <v>0</v>
      </c>
      <c r="K76" s="1" t="s">
        <v>555</v>
      </c>
    </row>
    <row r="77" spans="1:11" hidden="1" x14ac:dyDescent="0.3">
      <c r="A77" s="1">
        <v>76</v>
      </c>
      <c r="B77" s="1">
        <v>54</v>
      </c>
      <c r="C77" s="1" t="s">
        <v>217</v>
      </c>
      <c r="D77" s="1" t="s">
        <v>564</v>
      </c>
      <c r="E77" s="1" t="s">
        <v>67</v>
      </c>
      <c r="F77" s="1" t="str">
        <f>_xlfn.XLOOKUP($B77,'August 2025'!B:B,'July 2025'!F:F)</f>
        <v>Manufacturing</v>
      </c>
      <c r="G77" s="11">
        <v>30000</v>
      </c>
      <c r="H77" s="1">
        <v>19950</v>
      </c>
      <c r="I77" s="1">
        <v>0</v>
      </c>
      <c r="J77" s="1">
        <v>0</v>
      </c>
      <c r="K77" s="1" t="s">
        <v>555</v>
      </c>
    </row>
    <row r="78" spans="1:11" hidden="1" x14ac:dyDescent="0.3">
      <c r="A78" s="1">
        <v>77</v>
      </c>
      <c r="B78" s="1">
        <v>10101</v>
      </c>
      <c r="C78" s="1" t="s">
        <v>215</v>
      </c>
      <c r="D78" s="1" t="s">
        <v>565</v>
      </c>
      <c r="E78" s="1" t="s">
        <v>35</v>
      </c>
      <c r="F78" s="1" t="str">
        <f>_xlfn.XLOOKUP($B78,'August 2025'!B:B,'July 2025'!F:F)</f>
        <v>Manufacturing</v>
      </c>
      <c r="G78" s="11">
        <v>11500</v>
      </c>
      <c r="H78" s="1">
        <v>8162</v>
      </c>
      <c r="I78" s="1">
        <v>0</v>
      </c>
      <c r="J78" s="1">
        <v>0</v>
      </c>
      <c r="K78" s="1" t="str">
        <f>_xlfn.XLOOKUP('August 2025'!B78,'August 2025'!B:B,'July 2025'!K:K)</f>
        <v>L-9</v>
      </c>
    </row>
    <row r="79" spans="1:11" hidden="1" x14ac:dyDescent="0.3">
      <c r="A79" s="1">
        <v>78</v>
      </c>
      <c r="B79" s="1">
        <v>10103</v>
      </c>
      <c r="C79" s="1" t="s">
        <v>222</v>
      </c>
      <c r="D79" s="1" t="s">
        <v>565</v>
      </c>
      <c r="E79" s="1" t="s">
        <v>35</v>
      </c>
      <c r="F79" s="1" t="str">
        <f>_xlfn.XLOOKUP($B79,'August 2025'!B:B,'July 2025'!F:F)</f>
        <v>Manufacturing</v>
      </c>
      <c r="G79" s="11">
        <v>12500</v>
      </c>
      <c r="H79" s="1">
        <v>5242</v>
      </c>
      <c r="I79" s="1">
        <v>0</v>
      </c>
      <c r="J79" s="1">
        <v>0</v>
      </c>
      <c r="K79" s="1" t="str">
        <f>_xlfn.XLOOKUP('August 2025'!B79,'August 2025'!B:B,'July 2025'!K:K)</f>
        <v>L-9</v>
      </c>
    </row>
    <row r="80" spans="1:11" hidden="1" x14ac:dyDescent="0.3">
      <c r="A80" s="1">
        <v>79</v>
      </c>
      <c r="B80" s="1">
        <v>10104</v>
      </c>
      <c r="C80" s="1" t="s">
        <v>223</v>
      </c>
      <c r="D80" s="1" t="s">
        <v>565</v>
      </c>
      <c r="E80" s="1" t="s">
        <v>35</v>
      </c>
      <c r="F80" s="1" t="str">
        <f>_xlfn.XLOOKUP($B80,'August 2025'!B:B,'July 2025'!F:F)</f>
        <v>Manufacturing</v>
      </c>
      <c r="G80" s="11">
        <v>13500</v>
      </c>
      <c r="H80" s="1">
        <v>12629</v>
      </c>
      <c r="I80" s="1">
        <v>0</v>
      </c>
      <c r="J80" s="1">
        <v>0</v>
      </c>
      <c r="K80" s="1" t="str">
        <f>_xlfn.XLOOKUP('August 2025'!B80,'August 2025'!B:B,'July 2025'!K:K)</f>
        <v>L-9</v>
      </c>
    </row>
    <row r="81" spans="1:11" x14ac:dyDescent="0.3">
      <c r="A81" s="1">
        <v>80</v>
      </c>
      <c r="B81" s="1">
        <v>10115</v>
      </c>
      <c r="C81" s="1" t="s">
        <v>236</v>
      </c>
      <c r="D81" s="1" t="s">
        <v>565</v>
      </c>
      <c r="E81" s="1" t="s">
        <v>35</v>
      </c>
      <c r="F81" s="1" t="str">
        <f>_xlfn.XLOOKUP($B81,'August 2025'!B:B,'July 2025'!F:F)</f>
        <v>Overseas</v>
      </c>
      <c r="G81" s="11">
        <v>12500</v>
      </c>
      <c r="H81" s="1">
        <v>12097</v>
      </c>
      <c r="I81" s="1">
        <v>0</v>
      </c>
      <c r="J81" s="1">
        <v>0</v>
      </c>
      <c r="K81" s="1" t="s">
        <v>555</v>
      </c>
    </row>
    <row r="82" spans="1:11" hidden="1" x14ac:dyDescent="0.3">
      <c r="A82" s="1">
        <v>81</v>
      </c>
      <c r="B82" s="1">
        <v>57</v>
      </c>
      <c r="C82" s="1" t="s">
        <v>220</v>
      </c>
      <c r="D82" s="1" t="s">
        <v>564</v>
      </c>
      <c r="E82" s="1" t="s">
        <v>42</v>
      </c>
      <c r="F82" s="1" t="str">
        <f>_xlfn.XLOOKUP($B82,'August 2025'!B:B,'July 2025'!F:F)</f>
        <v>Manufacturing</v>
      </c>
      <c r="G82" s="11">
        <v>48600</v>
      </c>
      <c r="H82" s="1">
        <v>45465</v>
      </c>
      <c r="I82" s="1">
        <v>1950</v>
      </c>
      <c r="J82" s="1">
        <v>0</v>
      </c>
      <c r="K82" s="1" t="str">
        <f>_xlfn.XLOOKUP('August 2025'!B82,'August 2025'!B:B,'July 2025'!K:K)</f>
        <v>L-9</v>
      </c>
    </row>
    <row r="83" spans="1:11" hidden="1" x14ac:dyDescent="0.3">
      <c r="A83" s="1">
        <v>82</v>
      </c>
      <c r="B83" s="1">
        <v>131</v>
      </c>
      <c r="C83" s="1" t="s">
        <v>225</v>
      </c>
      <c r="D83" s="1" t="s">
        <v>564</v>
      </c>
      <c r="E83" s="1" t="s">
        <v>12</v>
      </c>
      <c r="F83" s="1" t="str">
        <f>_xlfn.XLOOKUP($B83,'August 2025'!B:B,'July 2025'!F:F)</f>
        <v>Domestic</v>
      </c>
      <c r="G83" s="11">
        <v>13000</v>
      </c>
      <c r="H83" s="1">
        <v>12580</v>
      </c>
      <c r="I83" s="1">
        <v>981</v>
      </c>
      <c r="J83" s="1">
        <v>409</v>
      </c>
      <c r="K83" s="1" t="s">
        <v>554</v>
      </c>
    </row>
    <row r="84" spans="1:11" hidden="1" x14ac:dyDescent="0.3">
      <c r="A84" s="1">
        <v>83</v>
      </c>
      <c r="B84" s="1">
        <v>132</v>
      </c>
      <c r="C84" s="1" t="s">
        <v>232</v>
      </c>
      <c r="D84" s="1" t="s">
        <v>564</v>
      </c>
      <c r="E84" s="1" t="s">
        <v>10</v>
      </c>
      <c r="F84" s="1" t="str">
        <f>_xlfn.XLOOKUP($B84,'August 2025'!B:B,'July 2025'!F:F)</f>
        <v>Manufacturing</v>
      </c>
      <c r="G84" s="11">
        <v>14800</v>
      </c>
      <c r="H84" s="1">
        <v>10980</v>
      </c>
      <c r="I84" s="1">
        <v>0</v>
      </c>
      <c r="J84" s="1">
        <v>357</v>
      </c>
      <c r="K84" s="1" t="str">
        <f>_xlfn.XLOOKUP('August 2025'!B84,'August 2025'!B:B,'July 2025'!K:K)</f>
        <v>L-9</v>
      </c>
    </row>
    <row r="85" spans="1:11" hidden="1" x14ac:dyDescent="0.3">
      <c r="A85" s="1">
        <v>84</v>
      </c>
      <c r="B85" s="1">
        <v>10109</v>
      </c>
      <c r="C85" s="1" t="s">
        <v>227</v>
      </c>
      <c r="D85" s="1" t="s">
        <v>565</v>
      </c>
      <c r="E85" s="1" t="s">
        <v>35</v>
      </c>
      <c r="F85" s="1" t="str">
        <f>_xlfn.XLOOKUP($B85,'August 2025'!B:B,'July 2025'!F:F)</f>
        <v>Manufacturing</v>
      </c>
      <c r="G85" s="11">
        <v>11500</v>
      </c>
      <c r="H85" s="1">
        <v>11129</v>
      </c>
      <c r="I85" s="1">
        <v>0</v>
      </c>
      <c r="J85" s="1">
        <v>0</v>
      </c>
      <c r="K85" s="1" t="str">
        <f>_xlfn.XLOOKUP('August 2025'!B85,'August 2025'!B:B,'July 2025'!K:K)</f>
        <v>L-9</v>
      </c>
    </row>
    <row r="86" spans="1:11" hidden="1" x14ac:dyDescent="0.3">
      <c r="A86" s="1">
        <v>85</v>
      </c>
      <c r="B86" s="1">
        <v>10110</v>
      </c>
      <c r="C86" s="1" t="s">
        <v>228</v>
      </c>
      <c r="D86" s="1" t="s">
        <v>565</v>
      </c>
      <c r="E86" s="1" t="s">
        <v>61</v>
      </c>
      <c r="F86" s="1" t="str">
        <f>_xlfn.XLOOKUP($B86,'August 2025'!B:B,'July 2025'!F:F)</f>
        <v>Manufacturing</v>
      </c>
      <c r="G86" s="11">
        <v>11500</v>
      </c>
      <c r="H86" s="1">
        <v>11129</v>
      </c>
      <c r="I86" s="1">
        <v>0</v>
      </c>
      <c r="J86" s="1">
        <v>0</v>
      </c>
      <c r="K86" s="1" t="s">
        <v>555</v>
      </c>
    </row>
    <row r="87" spans="1:11" hidden="1" x14ac:dyDescent="0.3">
      <c r="A87" s="1">
        <v>86</v>
      </c>
      <c r="B87" s="1">
        <v>59</v>
      </c>
      <c r="C87" s="1" t="s">
        <v>233</v>
      </c>
      <c r="D87" s="1" t="s">
        <v>564</v>
      </c>
      <c r="E87" s="1" t="s">
        <v>42</v>
      </c>
      <c r="F87" s="1" t="str">
        <f>_xlfn.XLOOKUP($B87,'August 2025'!B:B,'July 2025'!F:F)</f>
        <v>Manufacturing</v>
      </c>
      <c r="G87" s="11">
        <v>50000</v>
      </c>
      <c r="H87" s="1">
        <v>24193</v>
      </c>
      <c r="I87" s="1">
        <v>0</v>
      </c>
      <c r="J87" s="1">
        <v>0</v>
      </c>
      <c r="K87" s="1" t="str">
        <f>_xlfn.XLOOKUP('August 2025'!B87,'August 2025'!B:B,'July 2025'!K:K)</f>
        <v>L-9</v>
      </c>
    </row>
    <row r="88" spans="1:11" hidden="1" x14ac:dyDescent="0.3">
      <c r="A88" s="1">
        <v>87</v>
      </c>
      <c r="B88" s="1">
        <v>10111</v>
      </c>
      <c r="C88" s="1" t="s">
        <v>229</v>
      </c>
      <c r="D88" s="1" t="s">
        <v>565</v>
      </c>
      <c r="E88" s="1" t="s">
        <v>61</v>
      </c>
      <c r="F88" s="1" t="str">
        <f>_xlfn.XLOOKUP($B88,'August 2025'!B:B,'July 2025'!F:F)</f>
        <v>Manufacturing</v>
      </c>
      <c r="G88" s="11">
        <v>12500</v>
      </c>
      <c r="H88" s="1">
        <v>10887</v>
      </c>
      <c r="I88" s="1">
        <v>0</v>
      </c>
      <c r="J88" s="1">
        <v>0</v>
      </c>
      <c r="K88" s="1" t="str">
        <f>_xlfn.XLOOKUP('August 2025'!B88,'August 2025'!B:B,'July 2025'!K:K)</f>
        <v>L-9</v>
      </c>
    </row>
    <row r="89" spans="1:11" hidden="1" x14ac:dyDescent="0.3">
      <c r="A89" s="1">
        <v>88</v>
      </c>
      <c r="B89" s="1">
        <v>10112</v>
      </c>
      <c r="C89" s="1" t="s">
        <v>230</v>
      </c>
      <c r="D89" s="1" t="s">
        <v>565</v>
      </c>
      <c r="E89" s="1" t="s">
        <v>35</v>
      </c>
      <c r="F89" s="1" t="str">
        <f>_xlfn.XLOOKUP($B89,'August 2025'!B:B,'July 2025'!F:F)</f>
        <v>Manufacturing</v>
      </c>
      <c r="G89" s="11">
        <v>11000</v>
      </c>
      <c r="H89" s="1">
        <v>10645</v>
      </c>
      <c r="I89" s="1">
        <v>0</v>
      </c>
      <c r="J89" s="1">
        <v>0</v>
      </c>
      <c r="K89" s="1" t="str">
        <f>_xlfn.XLOOKUP('August 2025'!B89,'August 2025'!B:B,'July 2025'!K:K)</f>
        <v>L-9</v>
      </c>
    </row>
    <row r="90" spans="1:11" hidden="1" x14ac:dyDescent="0.3">
      <c r="A90" s="1">
        <v>89</v>
      </c>
      <c r="B90" s="1">
        <v>10117</v>
      </c>
      <c r="C90" s="1" t="s">
        <v>238</v>
      </c>
      <c r="D90" s="1" t="s">
        <v>565</v>
      </c>
      <c r="E90" s="1" t="s">
        <v>35</v>
      </c>
      <c r="F90" s="1" t="str">
        <f>_xlfn.XLOOKUP($B90,'August 2025'!B:B,'July 2025'!F:F)</f>
        <v>Domestic</v>
      </c>
      <c r="G90" s="11">
        <v>11500</v>
      </c>
      <c r="H90" s="1">
        <v>11500</v>
      </c>
      <c r="I90" s="1">
        <v>0</v>
      </c>
      <c r="J90" s="1">
        <v>0</v>
      </c>
      <c r="K90" s="1" t="s">
        <v>555</v>
      </c>
    </row>
    <row r="91" spans="1:11" hidden="1" x14ac:dyDescent="0.3">
      <c r="A91" s="1">
        <v>90</v>
      </c>
      <c r="B91" s="1">
        <v>10121</v>
      </c>
      <c r="C91" s="1" t="s">
        <v>241</v>
      </c>
      <c r="D91" s="1" t="s">
        <v>565</v>
      </c>
      <c r="E91" s="1" t="s">
        <v>53</v>
      </c>
      <c r="F91" s="1" t="str">
        <f>_xlfn.XLOOKUP($B91,'August 2025'!B:B,'July 2025'!F:F)</f>
        <v>Manufacturing</v>
      </c>
      <c r="G91" s="11">
        <v>11500</v>
      </c>
      <c r="H91" s="1">
        <v>8162</v>
      </c>
      <c r="I91" s="1">
        <v>0</v>
      </c>
      <c r="J91" s="1">
        <v>0</v>
      </c>
      <c r="K91" s="1" t="str">
        <f>_xlfn.XLOOKUP('August 2025'!B91,'August 2025'!B:B,'July 2025'!K:K)</f>
        <v>L-9</v>
      </c>
    </row>
    <row r="92" spans="1:11" x14ac:dyDescent="0.3">
      <c r="A92" s="1">
        <v>91</v>
      </c>
      <c r="B92" s="1">
        <v>10124</v>
      </c>
      <c r="C92" s="1" t="s">
        <v>244</v>
      </c>
      <c r="D92" s="1" t="s">
        <v>565</v>
      </c>
      <c r="E92" s="1" t="s">
        <v>35</v>
      </c>
      <c r="F92" s="1" t="str">
        <f>_xlfn.XLOOKUP($B92,'August 2025'!B:B,'July 2025'!F:F)</f>
        <v>Overseas</v>
      </c>
      <c r="G92" s="11">
        <v>14000</v>
      </c>
      <c r="H92" s="1">
        <v>1355</v>
      </c>
      <c r="I92" s="1">
        <v>0</v>
      </c>
      <c r="J92" s="1">
        <v>0</v>
      </c>
      <c r="K92" s="1" t="str">
        <f>_xlfn.XLOOKUP('August 2025'!B92,'August 2025'!B:B,'July 2025'!K:K)</f>
        <v>L-10</v>
      </c>
    </row>
    <row r="93" spans="1:11" hidden="1" x14ac:dyDescent="0.3">
      <c r="A93" s="1">
        <v>92</v>
      </c>
      <c r="B93" s="1">
        <v>10125</v>
      </c>
      <c r="C93" s="1" t="s">
        <v>245</v>
      </c>
      <c r="D93" s="1" t="s">
        <v>565</v>
      </c>
      <c r="E93" s="1" t="s">
        <v>53</v>
      </c>
      <c r="F93" s="1" t="str">
        <f>_xlfn.XLOOKUP($B93,'August 2025'!B:B,'July 2025'!F:F)</f>
        <v>Manufacturing</v>
      </c>
      <c r="G93" s="11">
        <v>14500</v>
      </c>
      <c r="H93" s="1">
        <v>14032</v>
      </c>
      <c r="I93" s="1">
        <v>0</v>
      </c>
      <c r="J93" s="1">
        <v>0</v>
      </c>
      <c r="K93" s="1" t="str">
        <f>_xlfn.XLOOKUP('August 2025'!B93,'August 2025'!B:B,'July 2025'!K:K)</f>
        <v>L-9</v>
      </c>
    </row>
    <row r="94" spans="1:11" hidden="1" x14ac:dyDescent="0.3">
      <c r="A94" s="1">
        <v>93</v>
      </c>
      <c r="B94" s="1">
        <v>10127</v>
      </c>
      <c r="C94" s="1" t="s">
        <v>247</v>
      </c>
      <c r="D94" s="1" t="s">
        <v>565</v>
      </c>
      <c r="E94" s="1" t="s">
        <v>35</v>
      </c>
      <c r="F94" s="1" t="str">
        <f>_xlfn.XLOOKUP($B94,'August 2025'!B:B,'July 2025'!F:F)</f>
        <v>Manufacturing</v>
      </c>
      <c r="G94" s="11">
        <v>14000</v>
      </c>
      <c r="H94" s="1">
        <v>12645</v>
      </c>
      <c r="I94" s="1">
        <v>0</v>
      </c>
      <c r="J94" s="1">
        <v>0</v>
      </c>
      <c r="K94" s="1" t="str">
        <f>_xlfn.XLOOKUP('August 2025'!B94,'August 2025'!B:B,'July 2025'!K:K)</f>
        <v>L-9</v>
      </c>
    </row>
    <row r="95" spans="1:11" hidden="1" x14ac:dyDescent="0.3">
      <c r="A95" s="1">
        <v>94</v>
      </c>
      <c r="B95" s="1">
        <v>10128</v>
      </c>
      <c r="C95" s="1" t="s">
        <v>248</v>
      </c>
      <c r="D95" s="1" t="s">
        <v>565</v>
      </c>
      <c r="E95" s="1" t="s">
        <v>35</v>
      </c>
      <c r="F95" s="1" t="str">
        <f>_xlfn.XLOOKUP($B95,'August 2025'!B:B,'July 2025'!F:F)</f>
        <v>Domestic</v>
      </c>
      <c r="G95" s="11">
        <v>14000</v>
      </c>
      <c r="H95" s="1">
        <v>12645</v>
      </c>
      <c r="I95" s="1">
        <v>0</v>
      </c>
      <c r="J95" s="1">
        <v>0</v>
      </c>
      <c r="K95" s="1" t="s">
        <v>555</v>
      </c>
    </row>
    <row r="96" spans="1:11" hidden="1" x14ac:dyDescent="0.3">
      <c r="A96" s="1">
        <v>95</v>
      </c>
      <c r="B96" s="1">
        <v>10131</v>
      </c>
      <c r="C96" s="1" t="s">
        <v>253</v>
      </c>
      <c r="D96" s="1" t="s">
        <v>565</v>
      </c>
      <c r="E96" s="1" t="s">
        <v>53</v>
      </c>
      <c r="F96" s="1" t="str">
        <f>_xlfn.XLOOKUP($B96,'August 2025'!B:B,'July 2025'!F:F)</f>
        <v>Manufacturing</v>
      </c>
      <c r="G96" s="11">
        <v>11000</v>
      </c>
      <c r="H96" s="1">
        <v>0</v>
      </c>
      <c r="I96" s="1">
        <v>0</v>
      </c>
      <c r="J96" s="1">
        <v>0</v>
      </c>
      <c r="K96" s="1" t="str">
        <f>_xlfn.XLOOKUP('August 2025'!B96,'August 2025'!B:B,'July 2025'!K:K)</f>
        <v>L-9</v>
      </c>
    </row>
    <row r="97" spans="1:11" hidden="1" x14ac:dyDescent="0.3">
      <c r="A97" s="1">
        <v>96</v>
      </c>
      <c r="B97" s="1">
        <v>170</v>
      </c>
      <c r="C97" s="1" t="s">
        <v>254</v>
      </c>
      <c r="D97" s="1" t="s">
        <v>564</v>
      </c>
      <c r="E97" s="1" t="s">
        <v>35</v>
      </c>
      <c r="F97" s="1" t="str">
        <f>_xlfn.XLOOKUP($B97,'August 2025'!B:B,'July 2025'!F:F)</f>
        <v>Manufacturing</v>
      </c>
      <c r="G97" s="11">
        <v>13000</v>
      </c>
      <c r="H97" s="1">
        <v>10903</v>
      </c>
      <c r="I97" s="1">
        <v>850</v>
      </c>
      <c r="J97" s="1">
        <v>355</v>
      </c>
      <c r="K97" s="1" t="str">
        <f>_xlfn.XLOOKUP('August 2025'!B97,'August 2025'!B:B,'July 2025'!K:K)</f>
        <v>L-9</v>
      </c>
    </row>
    <row r="98" spans="1:11" hidden="1" x14ac:dyDescent="0.3">
      <c r="A98" s="1">
        <v>97</v>
      </c>
      <c r="B98" s="1">
        <v>190</v>
      </c>
      <c r="C98" s="1" t="s">
        <v>250</v>
      </c>
      <c r="D98" s="1" t="s">
        <v>564</v>
      </c>
      <c r="E98" s="1" t="s">
        <v>35</v>
      </c>
      <c r="F98" s="1" t="str">
        <f>_xlfn.XLOOKUP($B98,'August 2025'!B:B,'July 2025'!F:F)</f>
        <v>Manufacturing</v>
      </c>
      <c r="G98" s="11">
        <v>13000</v>
      </c>
      <c r="H98" s="1">
        <v>7758</v>
      </c>
      <c r="I98" s="1">
        <v>605</v>
      </c>
      <c r="J98" s="1">
        <v>253</v>
      </c>
      <c r="K98" s="1" t="str">
        <f>_xlfn.XLOOKUP('August 2025'!B98,'August 2025'!B:B,'July 2025'!K:K)</f>
        <v>L-10</v>
      </c>
    </row>
    <row r="99" spans="1:11" hidden="1" x14ac:dyDescent="0.3">
      <c r="A99" s="1">
        <v>98</v>
      </c>
      <c r="B99" s="1">
        <v>10135</v>
      </c>
      <c r="C99" s="1" t="s">
        <v>256</v>
      </c>
      <c r="D99" s="1" t="s">
        <v>565</v>
      </c>
      <c r="E99" s="1" t="s">
        <v>53</v>
      </c>
      <c r="F99" s="1" t="str">
        <f>_xlfn.XLOOKUP($B99,'August 2025'!B:B,'July 2025'!F:F)</f>
        <v>Manufacturing</v>
      </c>
      <c r="G99" s="11">
        <v>15500</v>
      </c>
      <c r="H99" s="1">
        <v>15000</v>
      </c>
      <c r="I99" s="1">
        <v>0</v>
      </c>
      <c r="J99" s="1">
        <v>0</v>
      </c>
      <c r="K99" s="1" t="str">
        <f>_xlfn.XLOOKUP('August 2025'!B99,'August 2025'!B:B,'July 2025'!K:K)</f>
        <v>L-10</v>
      </c>
    </row>
    <row r="100" spans="1:11" hidden="1" x14ac:dyDescent="0.3">
      <c r="A100" s="1">
        <v>99</v>
      </c>
      <c r="B100" s="1">
        <v>154</v>
      </c>
      <c r="C100" s="1" t="s">
        <v>260</v>
      </c>
      <c r="D100" s="1" t="s">
        <v>564</v>
      </c>
      <c r="E100" s="1" t="s">
        <v>53</v>
      </c>
      <c r="F100" s="1" t="str">
        <f>_xlfn.XLOOKUP($B100,'August 2025'!B:B,'July 2025'!F:F)</f>
        <v>Domestic</v>
      </c>
      <c r="G100" s="11">
        <v>15000</v>
      </c>
      <c r="H100" s="1">
        <v>15000</v>
      </c>
      <c r="I100" s="1">
        <v>1170</v>
      </c>
      <c r="J100" s="1">
        <v>488</v>
      </c>
      <c r="K100" s="1" t="str">
        <f>_xlfn.XLOOKUP('August 2025'!B100,'August 2025'!B:B,'July 2025'!K:K)</f>
        <v>L-10</v>
      </c>
    </row>
    <row r="101" spans="1:11" hidden="1" x14ac:dyDescent="0.3">
      <c r="A101" s="1">
        <v>100</v>
      </c>
      <c r="B101" s="1">
        <v>10137</v>
      </c>
      <c r="C101" s="1" t="s">
        <v>258</v>
      </c>
      <c r="D101" s="1" t="s">
        <v>565</v>
      </c>
      <c r="E101" s="1" t="s">
        <v>53</v>
      </c>
      <c r="F101" s="1" t="str">
        <f>_xlfn.XLOOKUP($B101,'August 2025'!B:B,'July 2025'!F:F)</f>
        <v>Manufacturing</v>
      </c>
      <c r="G101" s="11">
        <v>11000</v>
      </c>
      <c r="H101" s="1">
        <v>0</v>
      </c>
      <c r="I101" s="1">
        <v>0</v>
      </c>
      <c r="J101" s="1">
        <v>0</v>
      </c>
      <c r="K101" s="1" t="str">
        <f>_xlfn.XLOOKUP('August 2025'!B101,'August 2025'!B:B,'July 2025'!K:K)</f>
        <v>L-9</v>
      </c>
    </row>
    <row r="102" spans="1:11" hidden="1" x14ac:dyDescent="0.3">
      <c r="A102" s="1">
        <v>101</v>
      </c>
      <c r="B102" s="1">
        <v>10140</v>
      </c>
      <c r="C102" s="1" t="s">
        <v>261</v>
      </c>
      <c r="D102" s="1" t="s">
        <v>565</v>
      </c>
      <c r="E102" s="1" t="s">
        <v>35</v>
      </c>
      <c r="F102" s="1" t="str">
        <f>_xlfn.XLOOKUP($B102,'August 2025'!B:B,'July 2025'!F:F)</f>
        <v>Manufacturing</v>
      </c>
      <c r="G102" s="11">
        <v>12500</v>
      </c>
      <c r="H102" s="1">
        <v>6653</v>
      </c>
      <c r="I102" s="1">
        <v>0</v>
      </c>
      <c r="J102" s="1">
        <v>0</v>
      </c>
      <c r="K102" s="1" t="str">
        <f>_xlfn.XLOOKUP('August 2025'!B102,'August 2025'!B:B,'July 2025'!K:K)</f>
        <v>L-10</v>
      </c>
    </row>
    <row r="103" spans="1:11" hidden="1" x14ac:dyDescent="0.3">
      <c r="A103" s="1">
        <v>102</v>
      </c>
      <c r="B103" s="1">
        <v>153</v>
      </c>
      <c r="C103" s="1" t="s">
        <v>266</v>
      </c>
      <c r="D103" s="1" t="s">
        <v>564</v>
      </c>
      <c r="E103" s="1" t="s">
        <v>53</v>
      </c>
      <c r="F103" s="1" t="str">
        <f>_xlfn.XLOOKUP($B103,'August 2025'!B:B,'July 2025'!F:F)</f>
        <v>Manufacturing</v>
      </c>
      <c r="G103" s="11">
        <v>14000</v>
      </c>
      <c r="H103" s="1">
        <v>7677</v>
      </c>
      <c r="I103" s="1">
        <v>599</v>
      </c>
      <c r="J103" s="1">
        <v>250</v>
      </c>
      <c r="K103" s="1" t="str">
        <f>_xlfn.XLOOKUP('August 2025'!B103,'August 2025'!B:B,'July 2025'!K:K)</f>
        <v>L-9</v>
      </c>
    </row>
    <row r="104" spans="1:11" hidden="1" x14ac:dyDescent="0.3">
      <c r="A104" s="1">
        <v>103</v>
      </c>
      <c r="B104" s="1">
        <v>62</v>
      </c>
      <c r="C104" s="1" t="s">
        <v>281</v>
      </c>
      <c r="D104" s="1" t="s">
        <v>564</v>
      </c>
      <c r="E104" s="1" t="s">
        <v>67</v>
      </c>
      <c r="F104" s="1" t="str">
        <f>_xlfn.XLOOKUP($B104,'August 2025'!B:B,'July 2025'!F:F)</f>
        <v>Manufacturing</v>
      </c>
      <c r="G104" s="11">
        <v>30000</v>
      </c>
      <c r="H104" s="1">
        <v>18878</v>
      </c>
      <c r="I104" s="1">
        <v>0</v>
      </c>
      <c r="J104" s="1">
        <v>0</v>
      </c>
      <c r="K104" s="1" t="s">
        <v>555</v>
      </c>
    </row>
    <row r="105" spans="1:11" hidden="1" x14ac:dyDescent="0.3">
      <c r="A105" s="1">
        <v>104</v>
      </c>
      <c r="B105" s="1">
        <v>160</v>
      </c>
      <c r="C105" s="1" t="s">
        <v>270</v>
      </c>
      <c r="D105" s="1" t="s">
        <v>564</v>
      </c>
      <c r="E105" s="1" t="s">
        <v>61</v>
      </c>
      <c r="F105" s="1" t="str">
        <f>_xlfn.XLOOKUP($B105,'August 2025'!B:B,'July 2025'!F:F)</f>
        <v>Manufacturing</v>
      </c>
      <c r="G105" s="11">
        <v>13000</v>
      </c>
      <c r="H105" s="1">
        <v>12580</v>
      </c>
      <c r="I105" s="1">
        <v>981</v>
      </c>
      <c r="J105" s="1">
        <v>409</v>
      </c>
      <c r="K105" s="1" t="str">
        <f>_xlfn.XLOOKUP('August 2025'!B105,'August 2025'!B:B,'July 2025'!K:K)</f>
        <v>L-10</v>
      </c>
    </row>
    <row r="106" spans="1:11" hidden="1" x14ac:dyDescent="0.3">
      <c r="A106" s="1">
        <v>105</v>
      </c>
      <c r="B106" s="1">
        <v>10153</v>
      </c>
      <c r="C106" s="1" t="s">
        <v>277</v>
      </c>
      <c r="D106" s="1" t="s">
        <v>565</v>
      </c>
      <c r="E106" s="1" t="s">
        <v>53</v>
      </c>
      <c r="F106" s="1" t="str">
        <f>_xlfn.XLOOKUP($B106,'August 2025'!B:B,'July 2025'!F:F)</f>
        <v>Manufacturing</v>
      </c>
      <c r="G106" s="11">
        <v>14000</v>
      </c>
      <c r="H106" s="1">
        <v>14000</v>
      </c>
      <c r="I106" s="1">
        <v>0</v>
      </c>
      <c r="J106" s="1">
        <v>0</v>
      </c>
      <c r="K106" s="1" t="str">
        <f>_xlfn.XLOOKUP('August 2025'!B106,'August 2025'!B:B,'July 2025'!K:K)</f>
        <v>L-9</v>
      </c>
    </row>
    <row r="107" spans="1:11" hidden="1" x14ac:dyDescent="0.3">
      <c r="A107" s="1">
        <v>106</v>
      </c>
      <c r="B107" s="1">
        <v>10147</v>
      </c>
      <c r="C107" s="1" t="s">
        <v>271</v>
      </c>
      <c r="D107" s="1" t="s">
        <v>565</v>
      </c>
      <c r="E107" s="1" t="s">
        <v>35</v>
      </c>
      <c r="F107" s="1" t="str">
        <f>_xlfn.XLOOKUP($B107,'August 2025'!B:B,'July 2025'!F:F)</f>
        <v>Domestic</v>
      </c>
      <c r="G107" s="11">
        <v>11000</v>
      </c>
      <c r="H107" s="1">
        <v>7452</v>
      </c>
      <c r="I107" s="1">
        <v>0</v>
      </c>
      <c r="J107" s="1">
        <v>0</v>
      </c>
      <c r="K107" s="1" t="s">
        <v>555</v>
      </c>
    </row>
    <row r="108" spans="1:11" hidden="1" x14ac:dyDescent="0.3">
      <c r="A108" s="1">
        <v>107</v>
      </c>
      <c r="B108" s="1">
        <v>133</v>
      </c>
      <c r="C108" s="1" t="s">
        <v>272</v>
      </c>
      <c r="D108" s="1" t="s">
        <v>564</v>
      </c>
      <c r="E108" s="1" t="s">
        <v>55</v>
      </c>
      <c r="F108" s="1" t="str">
        <f>_xlfn.XLOOKUP($B108,'August 2025'!B:B,'July 2025'!F:F)</f>
        <v>Manufacturing</v>
      </c>
      <c r="G108" s="11">
        <v>13000</v>
      </c>
      <c r="H108" s="1">
        <v>9645</v>
      </c>
      <c r="I108" s="1">
        <v>752</v>
      </c>
      <c r="J108" s="1">
        <v>314</v>
      </c>
      <c r="K108" s="1" t="str">
        <f>_xlfn.XLOOKUP('August 2025'!B108,'August 2025'!B:B,'July 2025'!K:K)</f>
        <v>L-9</v>
      </c>
    </row>
    <row r="109" spans="1:11" hidden="1" x14ac:dyDescent="0.3">
      <c r="A109" s="1">
        <v>108</v>
      </c>
      <c r="B109" s="1">
        <v>10152</v>
      </c>
      <c r="C109" s="1" t="s">
        <v>276</v>
      </c>
      <c r="D109" s="1" t="s">
        <v>565</v>
      </c>
      <c r="E109" s="1" t="s">
        <v>35</v>
      </c>
      <c r="F109" s="1" t="str">
        <f>_xlfn.XLOOKUP($B109,'August 2025'!B:B,'July 2025'!F:F)</f>
        <v>Manufacturing</v>
      </c>
      <c r="G109" s="11">
        <v>12000</v>
      </c>
      <c r="H109" s="1">
        <v>5032</v>
      </c>
      <c r="I109" s="1">
        <v>0</v>
      </c>
      <c r="J109" s="1">
        <v>0</v>
      </c>
      <c r="K109" s="1" t="str">
        <f>_xlfn.XLOOKUP('August 2025'!B109,'August 2025'!B:B,'July 2025'!K:K)</f>
        <v>L-9</v>
      </c>
    </row>
    <row r="110" spans="1:11" hidden="1" x14ac:dyDescent="0.3">
      <c r="A110" s="1">
        <v>109</v>
      </c>
      <c r="B110" s="1">
        <v>65</v>
      </c>
      <c r="C110" s="1" t="s">
        <v>295</v>
      </c>
      <c r="D110" s="1" t="s">
        <v>564</v>
      </c>
      <c r="E110" s="1" t="s">
        <v>67</v>
      </c>
      <c r="F110" s="1" t="str">
        <f>_xlfn.XLOOKUP($B110,'August 2025'!B:B,'July 2025'!F:F)</f>
        <v>Manufacturing</v>
      </c>
      <c r="G110" s="11">
        <v>30000</v>
      </c>
      <c r="H110" s="1">
        <v>33600</v>
      </c>
      <c r="I110" s="1">
        <v>0</v>
      </c>
      <c r="J110" s="1">
        <v>0</v>
      </c>
      <c r="K110" s="1" t="s">
        <v>555</v>
      </c>
    </row>
    <row r="111" spans="1:11" hidden="1" x14ac:dyDescent="0.3">
      <c r="A111" s="1">
        <v>110</v>
      </c>
      <c r="B111" s="1">
        <v>66</v>
      </c>
      <c r="C111" s="1" t="s">
        <v>296</v>
      </c>
      <c r="D111" s="1" t="s">
        <v>564</v>
      </c>
      <c r="E111" s="1" t="s">
        <v>67</v>
      </c>
      <c r="F111" s="1" t="str">
        <f>_xlfn.XLOOKUP($B111,'August 2025'!B:B,'July 2025'!F:F)</f>
        <v>Manufacturing</v>
      </c>
      <c r="G111" s="11">
        <v>30000</v>
      </c>
      <c r="H111" s="1">
        <v>14555</v>
      </c>
      <c r="I111" s="1">
        <v>0</v>
      </c>
      <c r="J111" s="1">
        <v>0</v>
      </c>
      <c r="K111" s="1" t="s">
        <v>555</v>
      </c>
    </row>
    <row r="112" spans="1:11" hidden="1" x14ac:dyDescent="0.3">
      <c r="A112" s="1">
        <v>111</v>
      </c>
      <c r="B112" s="1">
        <v>67</v>
      </c>
      <c r="C112" s="1" t="s">
        <v>297</v>
      </c>
      <c r="D112" s="1" t="s">
        <v>564</v>
      </c>
      <c r="E112" s="1" t="s">
        <v>67</v>
      </c>
      <c r="F112" s="1" t="str">
        <f>_xlfn.XLOOKUP($B112,'August 2025'!B:B,'July 2025'!F:F)</f>
        <v>Manufacturing</v>
      </c>
      <c r="G112" s="11">
        <v>30000</v>
      </c>
      <c r="H112" s="1">
        <v>15367</v>
      </c>
      <c r="I112" s="1">
        <v>0</v>
      </c>
      <c r="J112" s="1">
        <v>0</v>
      </c>
      <c r="K112" s="1" t="s">
        <v>555</v>
      </c>
    </row>
    <row r="113" spans="1:11" hidden="1" x14ac:dyDescent="0.3">
      <c r="A113" s="1">
        <v>112</v>
      </c>
      <c r="B113" s="1">
        <v>68</v>
      </c>
      <c r="C113" s="1" t="s">
        <v>298</v>
      </c>
      <c r="D113" s="1" t="s">
        <v>564</v>
      </c>
      <c r="E113" s="1" t="s">
        <v>67</v>
      </c>
      <c r="F113" s="1" t="str">
        <f>_xlfn.XLOOKUP($B113,'August 2025'!B:B,'July 2025'!F:F)</f>
        <v>Manufacturing</v>
      </c>
      <c r="G113" s="11">
        <v>30000</v>
      </c>
      <c r="H113" s="1">
        <v>10008</v>
      </c>
      <c r="I113" s="1">
        <v>0</v>
      </c>
      <c r="J113" s="1">
        <v>0</v>
      </c>
      <c r="K113" s="1" t="s">
        <v>555</v>
      </c>
    </row>
    <row r="114" spans="1:11" hidden="1" x14ac:dyDescent="0.3">
      <c r="A114" s="1">
        <v>113</v>
      </c>
      <c r="B114" s="1">
        <v>69</v>
      </c>
      <c r="C114" s="1" t="s">
        <v>299</v>
      </c>
      <c r="D114" s="1" t="s">
        <v>564</v>
      </c>
      <c r="E114" s="1" t="s">
        <v>67</v>
      </c>
      <c r="F114" s="1" t="str">
        <f>_xlfn.XLOOKUP($B114,'August 2025'!B:B,'July 2025'!F:F)</f>
        <v>Manufacturing</v>
      </c>
      <c r="G114" s="11">
        <v>30000</v>
      </c>
      <c r="H114" s="1">
        <v>0</v>
      </c>
      <c r="I114" s="1">
        <v>0</v>
      </c>
      <c r="J114" s="1">
        <v>0</v>
      </c>
      <c r="K114" s="1" t="s">
        <v>555</v>
      </c>
    </row>
    <row r="115" spans="1:11" hidden="1" x14ac:dyDescent="0.3">
      <c r="A115" s="1">
        <v>114</v>
      </c>
      <c r="B115" s="1">
        <v>70</v>
      </c>
      <c r="C115" s="1" t="s">
        <v>300</v>
      </c>
      <c r="D115" s="1" t="s">
        <v>564</v>
      </c>
      <c r="E115" s="1" t="s">
        <v>67</v>
      </c>
      <c r="F115" s="1" t="str">
        <f>_xlfn.XLOOKUP($B115,'August 2025'!B:B,'July 2025'!F:F)</f>
        <v>Manufacturing</v>
      </c>
      <c r="G115" s="11">
        <v>30000</v>
      </c>
      <c r="H115" s="1">
        <v>25074</v>
      </c>
      <c r="I115" s="1">
        <v>0</v>
      </c>
      <c r="J115" s="1">
        <v>0</v>
      </c>
      <c r="K115" s="1" t="s">
        <v>555</v>
      </c>
    </row>
    <row r="116" spans="1:11" hidden="1" x14ac:dyDescent="0.3">
      <c r="A116" s="1">
        <v>115</v>
      </c>
      <c r="B116" s="1">
        <v>71</v>
      </c>
      <c r="C116" s="1" t="s">
        <v>301</v>
      </c>
      <c r="D116" s="1" t="s">
        <v>564</v>
      </c>
      <c r="E116" s="1" t="s">
        <v>67</v>
      </c>
      <c r="F116" s="1" t="str">
        <f>_xlfn.XLOOKUP($B116,'August 2025'!B:B,'July 2025'!F:F)</f>
        <v>Manufacturing</v>
      </c>
      <c r="G116" s="11">
        <v>30000</v>
      </c>
      <c r="H116" s="1">
        <v>26405</v>
      </c>
      <c r="I116" s="1">
        <v>0</v>
      </c>
      <c r="J116" s="1">
        <v>0</v>
      </c>
      <c r="K116" s="1" t="s">
        <v>555</v>
      </c>
    </row>
    <row r="117" spans="1:11" hidden="1" x14ac:dyDescent="0.3">
      <c r="A117" s="1">
        <v>116</v>
      </c>
      <c r="B117" s="1">
        <v>72</v>
      </c>
      <c r="C117" s="1" t="s">
        <v>302</v>
      </c>
      <c r="D117" s="1" t="s">
        <v>564</v>
      </c>
      <c r="E117" s="1" t="s">
        <v>67</v>
      </c>
      <c r="F117" s="1" t="str">
        <f>_xlfn.XLOOKUP($B117,'August 2025'!B:B,'July 2025'!F:F)</f>
        <v>Manufacturing</v>
      </c>
      <c r="G117" s="11">
        <v>30000</v>
      </c>
      <c r="H117" s="1">
        <v>25183</v>
      </c>
      <c r="I117" s="1">
        <v>0</v>
      </c>
      <c r="J117" s="1">
        <v>0</v>
      </c>
      <c r="K117" s="1" t="s">
        <v>555</v>
      </c>
    </row>
    <row r="118" spans="1:11" hidden="1" x14ac:dyDescent="0.3">
      <c r="A118" s="1">
        <v>117</v>
      </c>
      <c r="B118" s="1">
        <v>73</v>
      </c>
      <c r="C118" s="1" t="s">
        <v>303</v>
      </c>
      <c r="D118" s="1" t="s">
        <v>564</v>
      </c>
      <c r="E118" s="1" t="s">
        <v>67</v>
      </c>
      <c r="F118" s="1" t="str">
        <f>_xlfn.XLOOKUP($B118,'August 2025'!B:B,'July 2025'!F:F)</f>
        <v>Manufacturing</v>
      </c>
      <c r="G118" s="11">
        <v>30000</v>
      </c>
      <c r="H118" s="1">
        <v>20115</v>
      </c>
      <c r="I118" s="1">
        <v>0</v>
      </c>
      <c r="J118" s="1">
        <v>0</v>
      </c>
      <c r="K118" s="1" t="s">
        <v>555</v>
      </c>
    </row>
    <row r="119" spans="1:11" hidden="1" x14ac:dyDescent="0.3">
      <c r="A119" s="1">
        <v>118</v>
      </c>
      <c r="B119" s="1">
        <v>74</v>
      </c>
      <c r="C119" s="1" t="s">
        <v>304</v>
      </c>
      <c r="D119" s="1" t="s">
        <v>564</v>
      </c>
      <c r="E119" s="1" t="s">
        <v>67</v>
      </c>
      <c r="F119" s="1" t="str">
        <f>_xlfn.XLOOKUP($B119,'August 2025'!B:B,'July 2025'!F:F)</f>
        <v>Manufacturing</v>
      </c>
      <c r="G119" s="11">
        <v>30000</v>
      </c>
      <c r="H119" s="1">
        <v>17396</v>
      </c>
      <c r="I119" s="1">
        <v>0</v>
      </c>
      <c r="J119" s="1">
        <v>0</v>
      </c>
      <c r="K119" s="1" t="s">
        <v>555</v>
      </c>
    </row>
    <row r="120" spans="1:11" hidden="1" x14ac:dyDescent="0.3">
      <c r="A120" s="1">
        <v>119</v>
      </c>
      <c r="B120" s="1">
        <v>75</v>
      </c>
      <c r="C120" s="1" t="s">
        <v>305</v>
      </c>
      <c r="D120" s="1" t="s">
        <v>564</v>
      </c>
      <c r="E120" s="1" t="s">
        <v>67</v>
      </c>
      <c r="F120" s="1" t="str">
        <f>_xlfn.XLOOKUP($B120,'August 2025'!B:B,'July 2025'!F:F)</f>
        <v>Manufacturing</v>
      </c>
      <c r="G120" s="11">
        <v>30000</v>
      </c>
      <c r="H120" s="1">
        <v>25621</v>
      </c>
      <c r="I120" s="1">
        <v>0</v>
      </c>
      <c r="J120" s="1">
        <v>0</v>
      </c>
      <c r="K120" s="1" t="s">
        <v>555</v>
      </c>
    </row>
    <row r="121" spans="1:11" hidden="1" x14ac:dyDescent="0.3">
      <c r="A121" s="1">
        <v>120</v>
      </c>
      <c r="B121" s="1">
        <v>76</v>
      </c>
      <c r="C121" s="1" t="s">
        <v>306</v>
      </c>
      <c r="D121" s="1" t="s">
        <v>564</v>
      </c>
      <c r="E121" s="1" t="s">
        <v>67</v>
      </c>
      <c r="F121" s="1" t="str">
        <f>_xlfn.XLOOKUP($B121,'August 2025'!B:B,'July 2025'!F:F)</f>
        <v>Manufacturing</v>
      </c>
      <c r="G121" s="11">
        <v>30000</v>
      </c>
      <c r="H121" s="1">
        <v>20412</v>
      </c>
      <c r="I121" s="1">
        <v>0</v>
      </c>
      <c r="J121" s="1">
        <v>0</v>
      </c>
      <c r="K121" s="1" t="s">
        <v>555</v>
      </c>
    </row>
    <row r="122" spans="1:11" hidden="1" x14ac:dyDescent="0.3">
      <c r="A122" s="1">
        <v>121</v>
      </c>
      <c r="B122" s="1">
        <v>77</v>
      </c>
      <c r="C122" s="1" t="s">
        <v>307</v>
      </c>
      <c r="D122" s="1" t="s">
        <v>564</v>
      </c>
      <c r="E122" s="1" t="s">
        <v>67</v>
      </c>
      <c r="F122" s="1" t="str">
        <f>_xlfn.XLOOKUP($B122,'August 2025'!B:B,'July 2025'!F:F)</f>
        <v>Manufacturing</v>
      </c>
      <c r="G122" s="11">
        <v>30000</v>
      </c>
      <c r="H122" s="1">
        <v>6461</v>
      </c>
      <c r="I122" s="1">
        <v>0</v>
      </c>
      <c r="J122" s="1">
        <v>0</v>
      </c>
      <c r="K122" s="1" t="s">
        <v>555</v>
      </c>
    </row>
    <row r="123" spans="1:11" hidden="1" x14ac:dyDescent="0.3">
      <c r="A123" s="1">
        <v>122</v>
      </c>
      <c r="B123" s="1">
        <v>78</v>
      </c>
      <c r="C123" s="1" t="s">
        <v>308</v>
      </c>
      <c r="D123" s="1" t="s">
        <v>564</v>
      </c>
      <c r="E123" s="1" t="s">
        <v>67</v>
      </c>
      <c r="F123" s="1" t="str">
        <f>_xlfn.XLOOKUP($B123,'August 2025'!B:B,'July 2025'!F:F)</f>
        <v>Manufacturing</v>
      </c>
      <c r="G123" s="11">
        <v>30000</v>
      </c>
      <c r="H123" s="1">
        <v>26552</v>
      </c>
      <c r="I123" s="1">
        <v>0</v>
      </c>
      <c r="J123" s="1">
        <v>0</v>
      </c>
      <c r="K123" s="1" t="s">
        <v>555</v>
      </c>
    </row>
    <row r="124" spans="1:11" hidden="1" x14ac:dyDescent="0.3">
      <c r="A124" s="1">
        <v>123</v>
      </c>
      <c r="B124" s="1">
        <v>79</v>
      </c>
      <c r="C124" s="1" t="s">
        <v>309</v>
      </c>
      <c r="D124" s="1" t="s">
        <v>564</v>
      </c>
      <c r="E124" s="1" t="s">
        <v>67</v>
      </c>
      <c r="F124" s="1" t="str">
        <f>_xlfn.XLOOKUP($B124,'August 2025'!B:B,'July 2025'!F:F)</f>
        <v>Manufacturing</v>
      </c>
      <c r="G124" s="11">
        <v>30000</v>
      </c>
      <c r="H124" s="1">
        <v>16234</v>
      </c>
      <c r="I124" s="1">
        <v>0</v>
      </c>
      <c r="J124" s="1">
        <v>0</v>
      </c>
      <c r="K124" s="1" t="s">
        <v>555</v>
      </c>
    </row>
    <row r="125" spans="1:11" hidden="1" x14ac:dyDescent="0.3">
      <c r="A125" s="1">
        <v>124</v>
      </c>
      <c r="B125" s="1">
        <v>80</v>
      </c>
      <c r="C125" s="1" t="s">
        <v>310</v>
      </c>
      <c r="D125" s="1" t="s">
        <v>564</v>
      </c>
      <c r="E125" s="1" t="s">
        <v>67</v>
      </c>
      <c r="F125" s="1" t="str">
        <f>_xlfn.XLOOKUP($B125,'August 2025'!B:B,'July 2025'!F:F)</f>
        <v>Manufacturing</v>
      </c>
      <c r="G125" s="11">
        <v>30000</v>
      </c>
      <c r="H125" s="1">
        <v>20495</v>
      </c>
      <c r="I125" s="1">
        <v>0</v>
      </c>
      <c r="J125" s="1">
        <v>0</v>
      </c>
      <c r="K125" s="1" t="s">
        <v>555</v>
      </c>
    </row>
    <row r="126" spans="1:11" hidden="1" x14ac:dyDescent="0.3">
      <c r="A126" s="1">
        <v>125</v>
      </c>
      <c r="B126" s="1">
        <v>81</v>
      </c>
      <c r="C126" s="1" t="s">
        <v>311</v>
      </c>
      <c r="D126" s="1" t="s">
        <v>564</v>
      </c>
      <c r="E126" s="1" t="s">
        <v>67</v>
      </c>
      <c r="F126" s="1" t="str">
        <f>_xlfn.XLOOKUP($B126,'August 2025'!B:B,'July 2025'!F:F)</f>
        <v>Manufacturing</v>
      </c>
      <c r="G126" s="11">
        <v>30000</v>
      </c>
      <c r="H126" s="1">
        <v>17680</v>
      </c>
      <c r="I126" s="1">
        <v>0</v>
      </c>
      <c r="J126" s="1">
        <v>0</v>
      </c>
      <c r="K126" s="1" t="s">
        <v>555</v>
      </c>
    </row>
    <row r="127" spans="1:11" hidden="1" x14ac:dyDescent="0.3">
      <c r="A127" s="1">
        <v>126</v>
      </c>
      <c r="B127" s="1">
        <v>82</v>
      </c>
      <c r="C127" s="1" t="s">
        <v>312</v>
      </c>
      <c r="D127" s="1" t="s">
        <v>564</v>
      </c>
      <c r="E127" s="1" t="s">
        <v>67</v>
      </c>
      <c r="F127" s="1" t="str">
        <f>_xlfn.XLOOKUP($B127,'August 2025'!B:B,'July 2025'!F:F)</f>
        <v>Manufacturing</v>
      </c>
      <c r="G127" s="11">
        <v>30000</v>
      </c>
      <c r="H127" s="1">
        <v>13413</v>
      </c>
      <c r="I127" s="1">
        <v>0</v>
      </c>
      <c r="J127" s="1">
        <v>0</v>
      </c>
      <c r="K127" s="1" t="s">
        <v>555</v>
      </c>
    </row>
    <row r="128" spans="1:11" hidden="1" x14ac:dyDescent="0.3">
      <c r="A128" s="1">
        <v>127</v>
      </c>
      <c r="B128" s="1">
        <v>83</v>
      </c>
      <c r="C128" s="1" t="s">
        <v>313</v>
      </c>
      <c r="D128" s="1" t="s">
        <v>564</v>
      </c>
      <c r="E128" s="1" t="s">
        <v>67</v>
      </c>
      <c r="F128" s="1" t="str">
        <f>_xlfn.XLOOKUP($B128,'August 2025'!B:B,'July 2025'!F:F)</f>
        <v>Manufacturing</v>
      </c>
      <c r="G128" s="11">
        <v>30000</v>
      </c>
      <c r="H128" s="1">
        <v>14459</v>
      </c>
      <c r="I128" s="1">
        <v>0</v>
      </c>
      <c r="J128" s="1">
        <v>0</v>
      </c>
      <c r="K128" s="1" t="s">
        <v>555</v>
      </c>
    </row>
    <row r="129" spans="1:11" hidden="1" x14ac:dyDescent="0.3">
      <c r="A129" s="1">
        <v>128</v>
      </c>
      <c r="B129" s="1">
        <v>84</v>
      </c>
      <c r="C129" s="1" t="s">
        <v>314</v>
      </c>
      <c r="D129" s="1" t="s">
        <v>564</v>
      </c>
      <c r="E129" s="1" t="s">
        <v>67</v>
      </c>
      <c r="F129" s="1" t="str">
        <f>_xlfn.XLOOKUP($B129,'August 2025'!B:B,'July 2025'!F:F)</f>
        <v>Manufacturing</v>
      </c>
      <c r="G129" s="11">
        <v>30000</v>
      </c>
      <c r="H129" s="1">
        <v>22930</v>
      </c>
      <c r="I129" s="1">
        <v>0</v>
      </c>
      <c r="J129" s="1">
        <v>0</v>
      </c>
      <c r="K129" s="1" t="s">
        <v>555</v>
      </c>
    </row>
    <row r="130" spans="1:11" hidden="1" x14ac:dyDescent="0.3">
      <c r="A130" s="1">
        <v>129</v>
      </c>
      <c r="B130" s="1">
        <v>85</v>
      </c>
      <c r="C130" s="1" t="s">
        <v>315</v>
      </c>
      <c r="D130" s="1" t="s">
        <v>564</v>
      </c>
      <c r="E130" s="1" t="s">
        <v>67</v>
      </c>
      <c r="F130" s="1" t="str">
        <f>_xlfn.XLOOKUP($B130,'August 2025'!B:B,'July 2025'!F:F)</f>
        <v>Manufacturing</v>
      </c>
      <c r="G130" s="11">
        <v>30000</v>
      </c>
      <c r="H130" s="1">
        <v>21105</v>
      </c>
      <c r="I130" s="1">
        <v>0</v>
      </c>
      <c r="J130" s="1">
        <v>0</v>
      </c>
      <c r="K130" s="1" t="s">
        <v>555</v>
      </c>
    </row>
    <row r="131" spans="1:11" hidden="1" x14ac:dyDescent="0.3">
      <c r="A131" s="1">
        <v>130</v>
      </c>
      <c r="B131" s="1">
        <v>86</v>
      </c>
      <c r="C131" s="1" t="s">
        <v>316</v>
      </c>
      <c r="D131" s="1" t="s">
        <v>564</v>
      </c>
      <c r="E131" s="1" t="s">
        <v>67</v>
      </c>
      <c r="F131" s="1" t="str">
        <f>_xlfn.XLOOKUP($B131,'August 2025'!B:B,'July 2025'!F:F)</f>
        <v>Manufacturing</v>
      </c>
      <c r="G131" s="11">
        <v>30000</v>
      </c>
      <c r="H131" s="1">
        <v>21809</v>
      </c>
      <c r="I131" s="1">
        <v>0</v>
      </c>
      <c r="J131" s="1">
        <v>0</v>
      </c>
      <c r="K131" s="1" t="s">
        <v>555</v>
      </c>
    </row>
    <row r="132" spans="1:11" hidden="1" x14ac:dyDescent="0.3">
      <c r="A132" s="1">
        <v>131</v>
      </c>
      <c r="B132" s="1">
        <v>87</v>
      </c>
      <c r="C132" s="1" t="s">
        <v>349</v>
      </c>
      <c r="D132" s="1" t="s">
        <v>564</v>
      </c>
      <c r="E132" s="1" t="s">
        <v>67</v>
      </c>
      <c r="F132" s="1" t="str">
        <f>_xlfn.XLOOKUP($B132,'August 2025'!B:B,'July 2025'!F:F)</f>
        <v>Manufacturing</v>
      </c>
      <c r="G132" s="11">
        <v>30000</v>
      </c>
      <c r="H132" s="1">
        <v>14929</v>
      </c>
      <c r="I132" s="1">
        <v>0</v>
      </c>
      <c r="J132" s="1">
        <v>0</v>
      </c>
      <c r="K132" s="1" t="s">
        <v>555</v>
      </c>
    </row>
    <row r="133" spans="1:11" hidden="1" x14ac:dyDescent="0.3">
      <c r="A133" s="1">
        <v>132</v>
      </c>
      <c r="B133" s="1">
        <v>88</v>
      </c>
      <c r="C133" s="1" t="s">
        <v>318</v>
      </c>
      <c r="D133" s="1" t="s">
        <v>564</v>
      </c>
      <c r="E133" s="1" t="s">
        <v>67</v>
      </c>
      <c r="F133" s="1" t="str">
        <f>_xlfn.XLOOKUP($B133,'August 2025'!B:B,'July 2025'!F:F)</f>
        <v>Manufacturing</v>
      </c>
      <c r="G133" s="11">
        <v>30000</v>
      </c>
      <c r="H133" s="1">
        <v>21889</v>
      </c>
      <c r="I133" s="1">
        <v>0</v>
      </c>
      <c r="J133" s="1">
        <v>0</v>
      </c>
      <c r="K133" s="1" t="s">
        <v>555</v>
      </c>
    </row>
    <row r="134" spans="1:11" hidden="1" x14ac:dyDescent="0.3">
      <c r="A134" s="1">
        <v>133</v>
      </c>
      <c r="B134" s="1">
        <v>90</v>
      </c>
      <c r="C134" s="1" t="s">
        <v>320</v>
      </c>
      <c r="D134" s="1" t="s">
        <v>564</v>
      </c>
      <c r="E134" s="1" t="s">
        <v>67</v>
      </c>
      <c r="F134" s="1" t="str">
        <f>_xlfn.XLOOKUP($B134,'August 2025'!B:B,'July 2025'!F:F)</f>
        <v>Manufacturing</v>
      </c>
      <c r="G134" s="11">
        <v>30000</v>
      </c>
      <c r="H134" s="1">
        <v>24877</v>
      </c>
      <c r="I134" s="1">
        <v>0</v>
      </c>
      <c r="J134" s="1">
        <v>0</v>
      </c>
      <c r="K134" s="1" t="s">
        <v>555</v>
      </c>
    </row>
    <row r="135" spans="1:11" hidden="1" x14ac:dyDescent="0.3">
      <c r="A135" s="1">
        <v>134</v>
      </c>
      <c r="B135" s="1">
        <v>91</v>
      </c>
      <c r="C135" s="1" t="s">
        <v>321</v>
      </c>
      <c r="D135" s="1" t="s">
        <v>564</v>
      </c>
      <c r="E135" s="1" t="s">
        <v>67</v>
      </c>
      <c r="F135" s="1" t="str">
        <f>_xlfn.XLOOKUP($B135,'August 2025'!B:B,'July 2025'!F:F)</f>
        <v>Manufacturing</v>
      </c>
      <c r="G135" s="11">
        <v>30000</v>
      </c>
      <c r="H135" s="1">
        <v>19224</v>
      </c>
      <c r="I135" s="1">
        <v>0</v>
      </c>
      <c r="J135" s="1">
        <v>0</v>
      </c>
      <c r="K135" s="1" t="s">
        <v>555</v>
      </c>
    </row>
    <row r="136" spans="1:11" hidden="1" x14ac:dyDescent="0.3">
      <c r="A136" s="1">
        <v>135</v>
      </c>
      <c r="B136" s="1">
        <v>93</v>
      </c>
      <c r="C136" s="1" t="s">
        <v>323</v>
      </c>
      <c r="D136" s="1" t="s">
        <v>564</v>
      </c>
      <c r="E136" s="1" t="s">
        <v>67</v>
      </c>
      <c r="F136" s="1" t="str">
        <f>_xlfn.XLOOKUP($B136,'August 2025'!B:B,'July 2025'!F:F)</f>
        <v>Manufacturing</v>
      </c>
      <c r="G136" s="11">
        <v>30000</v>
      </c>
      <c r="H136" s="1">
        <v>16413</v>
      </c>
      <c r="I136" s="1">
        <v>0</v>
      </c>
      <c r="J136" s="1">
        <v>0</v>
      </c>
      <c r="K136" s="1" t="s">
        <v>555</v>
      </c>
    </row>
    <row r="137" spans="1:11" hidden="1" x14ac:dyDescent="0.3">
      <c r="A137" s="1">
        <v>136</v>
      </c>
      <c r="B137" s="1">
        <v>94</v>
      </c>
      <c r="C137" s="1" t="s">
        <v>324</v>
      </c>
      <c r="D137" s="1" t="s">
        <v>564</v>
      </c>
      <c r="E137" s="1" t="s">
        <v>67</v>
      </c>
      <c r="F137" s="1" t="str">
        <f>_xlfn.XLOOKUP($B137,'August 2025'!B:B,'July 2025'!F:F)</f>
        <v>Manufacturing</v>
      </c>
      <c r="G137" s="11">
        <v>30000</v>
      </c>
      <c r="H137" s="1">
        <v>21854</v>
      </c>
      <c r="I137" s="1">
        <v>0</v>
      </c>
      <c r="J137" s="1">
        <v>0</v>
      </c>
      <c r="K137" s="1" t="s">
        <v>555</v>
      </c>
    </row>
    <row r="138" spans="1:11" hidden="1" x14ac:dyDescent="0.3">
      <c r="A138" s="1">
        <v>137</v>
      </c>
      <c r="B138" s="1">
        <v>99</v>
      </c>
      <c r="C138" s="1" t="s">
        <v>329</v>
      </c>
      <c r="D138" s="1" t="s">
        <v>564</v>
      </c>
      <c r="E138" s="1" t="s">
        <v>67</v>
      </c>
      <c r="F138" s="1" t="str">
        <f>_xlfn.XLOOKUP($B138,'August 2025'!B:B,'July 2025'!F:F)</f>
        <v>Manufacturing</v>
      </c>
      <c r="G138" s="11">
        <v>30000</v>
      </c>
      <c r="H138" s="1">
        <v>12292</v>
      </c>
      <c r="I138" s="1">
        <v>0</v>
      </c>
      <c r="J138" s="1">
        <v>0</v>
      </c>
      <c r="K138" s="1" t="s">
        <v>555</v>
      </c>
    </row>
    <row r="139" spans="1:11" x14ac:dyDescent="0.3">
      <c r="A139" s="1">
        <v>138</v>
      </c>
      <c r="B139" s="1">
        <v>151</v>
      </c>
      <c r="C139" s="1" t="s">
        <v>330</v>
      </c>
      <c r="D139" s="1" t="s">
        <v>568</v>
      </c>
      <c r="E139" s="1" t="s">
        <v>331</v>
      </c>
      <c r="F139" s="1" t="str">
        <f>_xlfn.XLOOKUP($B139,'August 2025'!B:B,'July 2025'!F:F)</f>
        <v>Overseas</v>
      </c>
      <c r="G139" s="11">
        <v>16000</v>
      </c>
      <c r="H139" s="1">
        <v>11355</v>
      </c>
      <c r="I139" s="1">
        <v>886</v>
      </c>
      <c r="J139" s="1">
        <v>370</v>
      </c>
      <c r="K139" s="1" t="str">
        <f>_xlfn.XLOOKUP('August 2025'!B139,'August 2025'!B:B,'July 2025'!K:K)</f>
        <v>L-8</v>
      </c>
    </row>
    <row r="140" spans="1:11" hidden="1" x14ac:dyDescent="0.3">
      <c r="A140" s="1">
        <v>139</v>
      </c>
      <c r="B140" s="1">
        <v>138</v>
      </c>
      <c r="C140" s="1" t="s">
        <v>332</v>
      </c>
      <c r="D140" s="1" t="s">
        <v>564</v>
      </c>
      <c r="E140" s="1" t="s">
        <v>10</v>
      </c>
      <c r="F140" s="1" t="str">
        <f>_xlfn.XLOOKUP($B140,'August 2025'!B:B,'July 2025'!F:F)</f>
        <v>Manufacturing</v>
      </c>
      <c r="G140" s="11">
        <v>25000</v>
      </c>
      <c r="H140" s="1">
        <v>20162</v>
      </c>
      <c r="I140" s="1">
        <v>1573</v>
      </c>
      <c r="J140" s="1">
        <v>0</v>
      </c>
      <c r="K140" s="1" t="str">
        <f>_xlfn.XLOOKUP('August 2025'!B140,'August 2025'!B:B,'July 2025'!K:K)</f>
        <v>L-9</v>
      </c>
    </row>
    <row r="141" spans="1:11" hidden="1" x14ac:dyDescent="0.3">
      <c r="A141" s="1">
        <v>140</v>
      </c>
      <c r="B141" s="1">
        <v>10160</v>
      </c>
      <c r="C141" s="1" t="s">
        <v>290</v>
      </c>
      <c r="D141" s="1" t="s">
        <v>565</v>
      </c>
      <c r="E141" s="1" t="s">
        <v>35</v>
      </c>
      <c r="F141" s="1" t="s">
        <v>501</v>
      </c>
      <c r="G141" s="11">
        <v>13000</v>
      </c>
      <c r="H141" s="1">
        <v>13000</v>
      </c>
      <c r="I141" s="1">
        <v>0</v>
      </c>
      <c r="J141" s="1">
        <v>0</v>
      </c>
      <c r="K141" s="1" t="s">
        <v>555</v>
      </c>
    </row>
    <row r="142" spans="1:11" hidden="1" x14ac:dyDescent="0.3">
      <c r="A142" s="1">
        <v>141</v>
      </c>
      <c r="B142" s="1">
        <v>63</v>
      </c>
      <c r="C142" s="1" t="s">
        <v>284</v>
      </c>
      <c r="D142" s="1" t="s">
        <v>564</v>
      </c>
      <c r="E142" s="1" t="s">
        <v>208</v>
      </c>
      <c r="F142" s="1" t="s">
        <v>499</v>
      </c>
      <c r="G142" s="11">
        <v>43000</v>
      </c>
      <c r="H142" s="1">
        <v>43000</v>
      </c>
      <c r="I142" s="1">
        <v>1950</v>
      </c>
      <c r="J142" s="1">
        <v>0</v>
      </c>
      <c r="K142" s="1" t="s">
        <v>552</v>
      </c>
    </row>
    <row r="143" spans="1:11" hidden="1" x14ac:dyDescent="0.3">
      <c r="A143" s="1">
        <v>142</v>
      </c>
      <c r="B143" s="1">
        <v>10162</v>
      </c>
      <c r="C143" s="1" t="s">
        <v>151</v>
      </c>
      <c r="D143" s="1" t="s">
        <v>565</v>
      </c>
      <c r="E143" s="1" t="s">
        <v>35</v>
      </c>
      <c r="F143" s="1" t="str">
        <f>_xlfn.XLOOKUP($B143,'August 2025'!B:B,'July 2025'!F:F)</f>
        <v>Manufacturing</v>
      </c>
      <c r="G143" s="11">
        <v>13500</v>
      </c>
      <c r="H143" s="1">
        <v>0</v>
      </c>
      <c r="I143" s="1">
        <v>0</v>
      </c>
      <c r="J143" s="1">
        <v>0</v>
      </c>
      <c r="K143" s="1" t="str">
        <f>_xlfn.XLOOKUP('August 2025'!B143,'August 2025'!B:B,'July 2025'!K:K)</f>
        <v>L-9</v>
      </c>
    </row>
    <row r="144" spans="1:11" hidden="1" x14ac:dyDescent="0.3">
      <c r="A144" s="1">
        <v>143</v>
      </c>
      <c r="B144" s="1">
        <v>10163</v>
      </c>
      <c r="C144" s="1" t="s">
        <v>292</v>
      </c>
      <c r="D144" s="1" t="s">
        <v>565</v>
      </c>
      <c r="E144" s="1" t="s">
        <v>35</v>
      </c>
      <c r="F144" s="1" t="str">
        <f>_xlfn.XLOOKUP($B144,'August 2025'!B:B,'July 2025'!F:F)</f>
        <v>Manufacturing</v>
      </c>
      <c r="G144" s="11">
        <v>12500</v>
      </c>
      <c r="H144" s="1">
        <v>0</v>
      </c>
      <c r="I144" s="1">
        <v>0</v>
      </c>
      <c r="J144" s="1">
        <v>0</v>
      </c>
      <c r="K144" s="1" t="str">
        <f>_xlfn.XLOOKUP('August 2025'!B144,'August 2025'!B:B,'July 2025'!K:K)</f>
        <v>L-9</v>
      </c>
    </row>
    <row r="145" spans="1:11" hidden="1" x14ac:dyDescent="0.3">
      <c r="A145" s="1">
        <v>144</v>
      </c>
      <c r="B145" s="1">
        <v>10166</v>
      </c>
      <c r="C145" s="1" t="s">
        <v>294</v>
      </c>
      <c r="D145" s="1" t="s">
        <v>565</v>
      </c>
      <c r="E145" s="1" t="s">
        <v>35</v>
      </c>
      <c r="F145" s="1" t="str">
        <f>_xlfn.XLOOKUP($B145,'August 2025'!B:B,'July 2025'!F:F)</f>
        <v>Domestic</v>
      </c>
      <c r="G145" s="11">
        <v>12500</v>
      </c>
      <c r="H145" s="1">
        <v>11693</v>
      </c>
      <c r="I145" s="1">
        <v>0</v>
      </c>
      <c r="J145" s="1">
        <v>0</v>
      </c>
      <c r="K145" s="1" t="s">
        <v>555</v>
      </c>
    </row>
    <row r="146" spans="1:11" hidden="1" x14ac:dyDescent="0.3">
      <c r="A146" s="1">
        <v>145</v>
      </c>
      <c r="B146" s="1">
        <v>5</v>
      </c>
      <c r="C146" s="1" t="s">
        <v>15</v>
      </c>
      <c r="D146" s="1" t="s">
        <v>564</v>
      </c>
      <c r="E146" s="1" t="s">
        <v>10</v>
      </c>
      <c r="F146" s="1" t="s">
        <v>504</v>
      </c>
      <c r="G146" s="11">
        <v>41950</v>
      </c>
      <c r="H146" s="1">
        <v>41950</v>
      </c>
      <c r="I146" s="1">
        <v>1950</v>
      </c>
      <c r="J146" s="1">
        <v>0</v>
      </c>
      <c r="K146" s="1" t="s">
        <v>553</v>
      </c>
    </row>
    <row r="147" spans="1:11" hidden="1" x14ac:dyDescent="0.3">
      <c r="A147" s="1">
        <v>146</v>
      </c>
      <c r="B147" s="1">
        <v>114</v>
      </c>
      <c r="C147" s="1" t="s">
        <v>348</v>
      </c>
      <c r="D147" s="1" t="s">
        <v>564</v>
      </c>
      <c r="E147" s="1" t="s">
        <v>67</v>
      </c>
      <c r="F147" s="1" t="str">
        <f>_xlfn.XLOOKUP($B147,'August 2025'!B:B,'July 2025'!F:F)</f>
        <v>Domestic</v>
      </c>
      <c r="G147" s="11">
        <v>30000</v>
      </c>
      <c r="H147" s="1">
        <v>26521</v>
      </c>
      <c r="I147" s="1">
        <v>0</v>
      </c>
      <c r="J147" s="1">
        <v>0</v>
      </c>
      <c r="K147" s="1" t="str">
        <f>_xlfn.XLOOKUP('August 2025'!B147,'August 2025'!B:B,'July 2025'!K:K)</f>
        <v>L-7</v>
      </c>
    </row>
    <row r="148" spans="1:11" hidden="1" x14ac:dyDescent="0.3">
      <c r="A148" s="1">
        <v>147</v>
      </c>
      <c r="B148" s="1">
        <v>134</v>
      </c>
      <c r="C148" s="1" t="s">
        <v>336</v>
      </c>
      <c r="D148" s="1" t="s">
        <v>564</v>
      </c>
      <c r="E148" s="1" t="s">
        <v>10</v>
      </c>
      <c r="F148" s="1" t="str">
        <f>_xlfn.XLOOKUP($B148,'August 2025'!B:B,'July 2025'!F:F)</f>
        <v>Manufacturing</v>
      </c>
      <c r="G148" s="11">
        <v>19500</v>
      </c>
      <c r="H148" s="1">
        <v>17298</v>
      </c>
      <c r="I148" s="1">
        <v>1349</v>
      </c>
      <c r="J148" s="1">
        <v>563</v>
      </c>
      <c r="K148" s="1" t="str">
        <f>_xlfn.XLOOKUP('August 2025'!B148,'August 2025'!B:B,'July 2025'!K:K)</f>
        <v>L-9</v>
      </c>
    </row>
    <row r="149" spans="1:11" hidden="1" x14ac:dyDescent="0.3">
      <c r="A149" s="1">
        <v>148</v>
      </c>
      <c r="B149" s="1">
        <v>10172</v>
      </c>
      <c r="C149" s="1" t="s">
        <v>337</v>
      </c>
      <c r="D149" s="1" t="s">
        <v>565</v>
      </c>
      <c r="E149" s="1" t="s">
        <v>35</v>
      </c>
      <c r="F149" s="1" t="s">
        <v>501</v>
      </c>
      <c r="G149" s="11">
        <v>12500</v>
      </c>
      <c r="H149" s="1">
        <v>11492</v>
      </c>
      <c r="I149" s="1">
        <v>0</v>
      </c>
      <c r="J149" s="1">
        <v>0</v>
      </c>
      <c r="K149" s="1" t="s">
        <v>555</v>
      </c>
    </row>
    <row r="150" spans="1:11" hidden="1" x14ac:dyDescent="0.3">
      <c r="A150" s="1">
        <v>149</v>
      </c>
      <c r="B150" s="1">
        <v>115</v>
      </c>
      <c r="C150" s="1" t="s">
        <v>344</v>
      </c>
      <c r="D150" s="1" t="s">
        <v>564</v>
      </c>
      <c r="E150" s="1" t="s">
        <v>10</v>
      </c>
      <c r="F150" s="1" t="str">
        <f>_xlfn.XLOOKUP($B150,'August 2025'!B:B,'July 2025'!F:F)</f>
        <v>Domestic</v>
      </c>
      <c r="G150" s="11">
        <v>18000</v>
      </c>
      <c r="H150" s="1">
        <v>15097</v>
      </c>
      <c r="I150" s="1">
        <v>1178</v>
      </c>
      <c r="J150" s="1">
        <v>491</v>
      </c>
      <c r="K150" s="1" t="str">
        <f>_xlfn.XLOOKUP('August 2025'!B150,'August 2025'!B:B,'July 2025'!K:K)</f>
        <v>L-7</v>
      </c>
    </row>
    <row r="151" spans="1:11" x14ac:dyDescent="0.3">
      <c r="A151" s="1">
        <v>150</v>
      </c>
      <c r="B151" s="1">
        <v>135</v>
      </c>
      <c r="C151" s="1" t="s">
        <v>340</v>
      </c>
      <c r="D151" s="1" t="s">
        <v>564</v>
      </c>
      <c r="E151" s="1" t="s">
        <v>55</v>
      </c>
      <c r="F151" s="1" t="str">
        <f>_xlfn.XLOOKUP($B151,'August 2025'!B:B,'July 2025'!F:F)</f>
        <v>Overseas</v>
      </c>
      <c r="G151" s="11">
        <v>13500</v>
      </c>
      <c r="H151" s="1">
        <v>4355</v>
      </c>
      <c r="I151" s="1">
        <v>340</v>
      </c>
      <c r="J151" s="1">
        <v>142</v>
      </c>
      <c r="K151" s="1" t="s">
        <v>555</v>
      </c>
    </row>
    <row r="152" spans="1:11" hidden="1" x14ac:dyDescent="0.3">
      <c r="A152" s="1">
        <v>151</v>
      </c>
      <c r="B152" s="1">
        <v>100</v>
      </c>
      <c r="C152" s="1" t="s">
        <v>334</v>
      </c>
      <c r="D152" s="1" t="s">
        <v>564</v>
      </c>
      <c r="E152" s="1" t="s">
        <v>64</v>
      </c>
      <c r="F152" s="1" t="str">
        <f>_xlfn.XLOOKUP($B152,'August 2025'!B:B,'July 2025'!F:F)</f>
        <v xml:space="preserve">Admin </v>
      </c>
      <c r="G152" s="11">
        <v>42095</v>
      </c>
      <c r="H152" s="1">
        <v>36663</v>
      </c>
      <c r="I152" s="1">
        <v>1950</v>
      </c>
      <c r="J152" s="1">
        <v>0</v>
      </c>
      <c r="K152" s="1" t="str">
        <f>_xlfn.XLOOKUP('August 2025'!B152,'August 2025'!B:B,'July 2025'!K:K)</f>
        <v>L-5</v>
      </c>
    </row>
    <row r="153" spans="1:11" hidden="1" x14ac:dyDescent="0.3">
      <c r="A153" s="1">
        <v>152</v>
      </c>
      <c r="B153" s="1">
        <v>161</v>
      </c>
      <c r="C153" s="1" t="s">
        <v>342</v>
      </c>
      <c r="D153" s="1" t="s">
        <v>568</v>
      </c>
      <c r="E153" s="1" t="s">
        <v>61</v>
      </c>
      <c r="F153" s="1" t="str">
        <f>_xlfn.XLOOKUP($B153,'August 2025'!B:B,'July 2025'!F:F)</f>
        <v>Manufacturing</v>
      </c>
      <c r="G153" s="11">
        <v>12500</v>
      </c>
      <c r="H153" s="1">
        <v>3629</v>
      </c>
      <c r="I153" s="1">
        <v>283</v>
      </c>
      <c r="J153" s="1">
        <v>118</v>
      </c>
      <c r="K153" s="1" t="str">
        <f>_xlfn.XLOOKUP('August 2025'!B153,'August 2025'!B:B,'July 2025'!K:K)</f>
        <v>L-9</v>
      </c>
    </row>
    <row r="154" spans="1:11" hidden="1" x14ac:dyDescent="0.3">
      <c r="A154" s="1">
        <v>153</v>
      </c>
      <c r="B154" s="1">
        <v>10178</v>
      </c>
      <c r="C154" s="1" t="s">
        <v>343</v>
      </c>
      <c r="D154" s="1" t="s">
        <v>565</v>
      </c>
      <c r="E154" s="1" t="s">
        <v>61</v>
      </c>
      <c r="F154" s="1" t="str">
        <f>_xlfn.XLOOKUP($B154,'August 2025'!B:B,'July 2025'!F:F)</f>
        <v>Manufacturing</v>
      </c>
      <c r="G154" s="11">
        <v>12500</v>
      </c>
      <c r="H154" s="1">
        <v>12500</v>
      </c>
      <c r="I154" s="1">
        <v>0</v>
      </c>
      <c r="J154" s="1">
        <v>0</v>
      </c>
      <c r="K154" s="1" t="str">
        <f>_xlfn.XLOOKUP('August 2025'!B154,'August 2025'!B:B,'July 2025'!K:K)</f>
        <v>L-9</v>
      </c>
    </row>
    <row r="155" spans="1:11" hidden="1" x14ac:dyDescent="0.3">
      <c r="A155" s="1">
        <v>154</v>
      </c>
      <c r="B155" s="1">
        <v>200</v>
      </c>
      <c r="C155" s="1" t="s">
        <v>372</v>
      </c>
      <c r="D155" s="1" t="s">
        <v>564</v>
      </c>
      <c r="E155" s="1" t="s">
        <v>67</v>
      </c>
      <c r="F155" s="1" t="str">
        <f>_xlfn.XLOOKUP($B155,'August 2025'!B:B,'July 2025'!F:F)</f>
        <v>Manufacturing</v>
      </c>
      <c r="G155" s="11">
        <v>30000</v>
      </c>
      <c r="H155" s="1">
        <v>26835</v>
      </c>
      <c r="I155" s="1">
        <v>0</v>
      </c>
      <c r="J155" s="1">
        <v>0</v>
      </c>
      <c r="K155" s="1" t="s">
        <v>555</v>
      </c>
    </row>
    <row r="156" spans="1:11" hidden="1" x14ac:dyDescent="0.3">
      <c r="A156" s="1">
        <v>155</v>
      </c>
      <c r="B156" s="1">
        <v>201</v>
      </c>
      <c r="C156" s="1" t="s">
        <v>373</v>
      </c>
      <c r="D156" s="1" t="s">
        <v>564</v>
      </c>
      <c r="E156" s="1" t="s">
        <v>67</v>
      </c>
      <c r="F156" s="1" t="str">
        <f>_xlfn.XLOOKUP($B156,'August 2025'!B:B,'July 2025'!F:F)</f>
        <v>Manufacturing</v>
      </c>
      <c r="G156" s="11">
        <v>30000</v>
      </c>
      <c r="H156" s="1">
        <v>21440</v>
      </c>
      <c r="I156" s="1">
        <v>0</v>
      </c>
      <c r="J156" s="1">
        <v>0</v>
      </c>
      <c r="K156" s="1" t="s">
        <v>555</v>
      </c>
    </row>
    <row r="157" spans="1:11" hidden="1" x14ac:dyDescent="0.3">
      <c r="A157" s="1">
        <v>156</v>
      </c>
      <c r="B157" s="1">
        <v>10199</v>
      </c>
      <c r="C157" s="1" t="s">
        <v>376</v>
      </c>
      <c r="D157" s="1" t="s">
        <v>565</v>
      </c>
      <c r="E157" s="1" t="s">
        <v>88</v>
      </c>
      <c r="F157" s="1" t="str">
        <f>_xlfn.XLOOKUP($B157,'August 2025'!B:B,'July 2025'!F:F)</f>
        <v>Office Support</v>
      </c>
      <c r="G157" s="11">
        <v>8000</v>
      </c>
      <c r="H157" s="1">
        <v>7225</v>
      </c>
      <c r="I157" s="1">
        <v>0</v>
      </c>
      <c r="J157" s="1">
        <v>0</v>
      </c>
      <c r="K157" s="1" t="str">
        <f>_xlfn.XLOOKUP('August 2025'!B157,'August 2025'!B:B,'July 2025'!K:K)</f>
        <v>L-10</v>
      </c>
    </row>
    <row r="158" spans="1:11" hidden="1" x14ac:dyDescent="0.3">
      <c r="A158" s="1">
        <v>157</v>
      </c>
      <c r="B158" s="1">
        <v>136</v>
      </c>
      <c r="C158" s="1" t="s">
        <v>359</v>
      </c>
      <c r="D158" s="1" t="s">
        <v>564</v>
      </c>
      <c r="E158" s="1" t="s">
        <v>55</v>
      </c>
      <c r="F158" s="1" t="str">
        <f>_xlfn.XLOOKUP($B158,'August 2025'!B:B,'July 2025'!F:F)</f>
        <v>Domestic</v>
      </c>
      <c r="G158" s="11">
        <v>13000</v>
      </c>
      <c r="H158" s="1">
        <v>11742</v>
      </c>
      <c r="I158" s="1">
        <v>916</v>
      </c>
      <c r="J158" s="1">
        <v>382</v>
      </c>
      <c r="K158" s="1" t="str">
        <f>_xlfn.XLOOKUP('August 2025'!B158,'August 2025'!B:B,'July 2025'!K:K)</f>
        <v>L-7</v>
      </c>
    </row>
    <row r="159" spans="1:11" hidden="1" x14ac:dyDescent="0.3">
      <c r="A159" s="1">
        <v>158</v>
      </c>
      <c r="B159" s="1">
        <v>10182</v>
      </c>
      <c r="C159" s="1" t="s">
        <v>350</v>
      </c>
      <c r="D159" s="1" t="s">
        <v>565</v>
      </c>
      <c r="E159" s="1" t="s">
        <v>53</v>
      </c>
      <c r="F159" s="1" t="str">
        <f>_xlfn.XLOOKUP($B159,'August 2025'!B:B,'July 2025'!F:F)</f>
        <v>Domestic</v>
      </c>
      <c r="G159" s="11">
        <v>13000</v>
      </c>
      <c r="H159" s="1">
        <v>10065</v>
      </c>
      <c r="I159" s="1">
        <v>0</v>
      </c>
      <c r="J159" s="1">
        <v>0</v>
      </c>
      <c r="K159" s="1" t="str">
        <f>_xlfn.XLOOKUP('August 2025'!B159,'August 2025'!B:B,'July 2025'!K:K)</f>
        <v>L-10</v>
      </c>
    </row>
    <row r="160" spans="1:11" hidden="1" x14ac:dyDescent="0.3">
      <c r="A160" s="1">
        <v>159</v>
      </c>
      <c r="B160" s="1">
        <v>104</v>
      </c>
      <c r="C160" s="1" t="s">
        <v>377</v>
      </c>
      <c r="D160" s="1" t="s">
        <v>564</v>
      </c>
      <c r="E160" s="1" t="s">
        <v>378</v>
      </c>
      <c r="F160" s="1" t="str">
        <f>_xlfn.XLOOKUP($B160,'August 2025'!B:B,'July 2025'!F:F)</f>
        <v xml:space="preserve">Admin </v>
      </c>
      <c r="G160" s="11">
        <v>24952</v>
      </c>
      <c r="H160" s="1">
        <v>22940</v>
      </c>
      <c r="I160" s="1">
        <v>1789</v>
      </c>
      <c r="J160" s="1">
        <v>0</v>
      </c>
      <c r="K160" s="1" t="str">
        <f>_xlfn.XLOOKUP('August 2025'!B160,'August 2025'!B:B,'July 2025'!K:K)</f>
        <v>L-5</v>
      </c>
    </row>
    <row r="161" spans="1:11" hidden="1" x14ac:dyDescent="0.3">
      <c r="A161" s="1">
        <v>160</v>
      </c>
      <c r="B161" s="1">
        <v>158</v>
      </c>
      <c r="C161" s="1" t="s">
        <v>385</v>
      </c>
      <c r="D161" s="1" t="s">
        <v>568</v>
      </c>
      <c r="E161" s="1" t="s">
        <v>35</v>
      </c>
      <c r="F161" s="1" t="str">
        <f>_xlfn.XLOOKUP($B161,'August 2025'!B:B,'July 2025'!F:F)</f>
        <v>Manufacturing</v>
      </c>
      <c r="G161" s="11">
        <v>11500</v>
      </c>
      <c r="H161" s="1">
        <v>4823</v>
      </c>
      <c r="I161" s="1">
        <v>376</v>
      </c>
      <c r="J161" s="1">
        <v>157</v>
      </c>
      <c r="K161" s="1" t="str">
        <f>_xlfn.XLOOKUP('August 2025'!B161,'August 2025'!B:B,'July 2025'!K:K)</f>
        <v>L-9</v>
      </c>
    </row>
    <row r="162" spans="1:11" hidden="1" x14ac:dyDescent="0.3">
      <c r="A162" s="1">
        <v>161</v>
      </c>
      <c r="B162" s="1">
        <v>107</v>
      </c>
      <c r="C162" s="1" t="s">
        <v>360</v>
      </c>
      <c r="D162" s="1" t="s">
        <v>565</v>
      </c>
      <c r="E162" s="1" t="s">
        <v>361</v>
      </c>
      <c r="F162" s="1" t="str">
        <f>_xlfn.XLOOKUP($B162,'August 2025'!B:B,'July 2025'!F:F)</f>
        <v>Office Support</v>
      </c>
      <c r="G162" s="11">
        <v>15500</v>
      </c>
      <c r="H162" s="1">
        <v>14750</v>
      </c>
      <c r="I162" s="1">
        <v>0</v>
      </c>
      <c r="J162" s="1">
        <v>0</v>
      </c>
      <c r="K162" s="1" t="str">
        <f>_xlfn.XLOOKUP('August 2025'!B162,'August 2025'!B:B,'July 2025'!K:K)</f>
        <v>L-10</v>
      </c>
    </row>
    <row r="163" spans="1:11" hidden="1" x14ac:dyDescent="0.3">
      <c r="A163" s="1">
        <v>162</v>
      </c>
      <c r="B163" s="1">
        <v>10184</v>
      </c>
      <c r="C163" s="1" t="s">
        <v>352</v>
      </c>
      <c r="D163" s="1" t="s">
        <v>565</v>
      </c>
      <c r="E163" s="1" t="s">
        <v>35</v>
      </c>
      <c r="F163" s="1" t="str">
        <f>_xlfn.XLOOKUP($B163,'August 2025'!B:B,'July 2025'!F:F)</f>
        <v>Manufacturing</v>
      </c>
      <c r="G163" s="11">
        <v>11500</v>
      </c>
      <c r="H163" s="1">
        <v>11129</v>
      </c>
      <c r="I163" s="1">
        <v>0</v>
      </c>
      <c r="J163" s="1">
        <v>0</v>
      </c>
      <c r="K163" s="1" t="str">
        <f>_xlfn.XLOOKUP('August 2025'!B163,'August 2025'!B:B,'July 2025'!K:K)</f>
        <v>L-9</v>
      </c>
    </row>
    <row r="164" spans="1:11" hidden="1" x14ac:dyDescent="0.3">
      <c r="A164" s="1">
        <v>163</v>
      </c>
      <c r="B164" s="1">
        <v>10185</v>
      </c>
      <c r="C164" s="1" t="s">
        <v>353</v>
      </c>
      <c r="D164" s="1" t="s">
        <v>565</v>
      </c>
      <c r="E164" s="1" t="s">
        <v>35</v>
      </c>
      <c r="F164" s="1" t="str">
        <f>_xlfn.XLOOKUP($B164,'August 2025'!B:B,'July 2025'!F:F)</f>
        <v>Manufacturing</v>
      </c>
      <c r="G164" s="11">
        <v>13500</v>
      </c>
      <c r="H164" s="1">
        <v>12193</v>
      </c>
      <c r="I164" s="1">
        <v>0</v>
      </c>
      <c r="J164" s="1">
        <v>0</v>
      </c>
      <c r="K164" s="1" t="str">
        <f>_xlfn.XLOOKUP('August 2025'!B164,'August 2025'!B:B,'July 2025'!K:K)</f>
        <v>L-9</v>
      </c>
    </row>
    <row r="165" spans="1:11" hidden="1" x14ac:dyDescent="0.3">
      <c r="A165" s="1">
        <v>164</v>
      </c>
      <c r="B165" s="1">
        <v>108</v>
      </c>
      <c r="C165" s="1" t="s">
        <v>371</v>
      </c>
      <c r="D165" s="1" t="s">
        <v>564</v>
      </c>
      <c r="E165" s="1" t="s">
        <v>47</v>
      </c>
      <c r="F165" s="1" t="str">
        <f>_xlfn.XLOOKUP($B165,'August 2025'!B:B,'July 2025'!F:F)</f>
        <v>D2C</v>
      </c>
      <c r="G165" s="11">
        <v>50000</v>
      </c>
      <c r="H165" s="1">
        <v>37097</v>
      </c>
      <c r="I165" s="1">
        <v>1950</v>
      </c>
      <c r="J165" s="1">
        <v>0</v>
      </c>
      <c r="K165" s="1" t="str">
        <f>_xlfn.XLOOKUP('August 2025'!B165,'August 2025'!B:B,'July 2025'!K:K)</f>
        <v>L-5</v>
      </c>
    </row>
    <row r="166" spans="1:11" hidden="1" x14ac:dyDescent="0.3">
      <c r="A166" s="1">
        <v>165</v>
      </c>
      <c r="B166" s="1">
        <v>10186</v>
      </c>
      <c r="C166" s="1" t="s">
        <v>354</v>
      </c>
      <c r="D166" s="1" t="s">
        <v>565</v>
      </c>
      <c r="E166" s="1" t="s">
        <v>35</v>
      </c>
      <c r="F166" s="1" t="str">
        <f>_xlfn.XLOOKUP($B166,'August 2025'!B:B,'July 2025'!F:F)</f>
        <v>Manufacturing</v>
      </c>
      <c r="G166" s="11">
        <v>12000</v>
      </c>
      <c r="H166" s="1">
        <v>1742</v>
      </c>
      <c r="I166" s="1">
        <v>0</v>
      </c>
      <c r="J166" s="1">
        <v>0</v>
      </c>
      <c r="K166" s="1" t="str">
        <f>_xlfn.XLOOKUP('August 2025'!B166,'August 2025'!B:B,'July 2025'!K:K)</f>
        <v>L-9</v>
      </c>
    </row>
    <row r="167" spans="1:11" hidden="1" x14ac:dyDescent="0.3">
      <c r="A167" s="1">
        <v>166</v>
      </c>
      <c r="B167" s="1">
        <v>10187</v>
      </c>
      <c r="C167" s="1" t="s">
        <v>43</v>
      </c>
      <c r="D167" s="1" t="s">
        <v>565</v>
      </c>
      <c r="E167" s="1" t="s">
        <v>35</v>
      </c>
      <c r="F167" s="1" t="str">
        <f>_xlfn.XLOOKUP($B167,'August 2025'!B:B,'July 2025'!F:F)</f>
        <v>Manufacturing</v>
      </c>
      <c r="G167" s="11">
        <v>12000</v>
      </c>
      <c r="H167" s="1">
        <v>775</v>
      </c>
      <c r="I167" s="1">
        <v>0</v>
      </c>
      <c r="J167" s="1">
        <v>0</v>
      </c>
      <c r="K167" s="1" t="str">
        <f>_xlfn.XLOOKUP('August 2025'!B167,'August 2025'!B:B,'July 2025'!K:K)</f>
        <v>L-9</v>
      </c>
    </row>
    <row r="168" spans="1:11" hidden="1" x14ac:dyDescent="0.3">
      <c r="A168" s="1">
        <v>167</v>
      </c>
      <c r="B168" s="1">
        <v>175</v>
      </c>
      <c r="C168" s="1" t="s">
        <v>355</v>
      </c>
      <c r="D168" s="1" t="s">
        <v>568</v>
      </c>
      <c r="E168" s="1" t="s">
        <v>35</v>
      </c>
      <c r="F168" s="1" t="str">
        <f>_xlfn.XLOOKUP($B168,'August 2025'!B:B,'July 2025'!F:F)</f>
        <v>Manufacturing</v>
      </c>
      <c r="G168" s="11">
        <v>12500</v>
      </c>
      <c r="H168" s="1">
        <v>12500</v>
      </c>
      <c r="I168" s="1">
        <v>975</v>
      </c>
      <c r="J168" s="1">
        <v>407</v>
      </c>
      <c r="K168" s="1" t="str">
        <f>_xlfn.XLOOKUP('August 2025'!B168,'August 2025'!B:B,'July 2025'!K:K)</f>
        <v>L-9</v>
      </c>
    </row>
    <row r="169" spans="1:11" hidden="1" x14ac:dyDescent="0.3">
      <c r="A169" s="1">
        <v>168</v>
      </c>
      <c r="B169" s="1">
        <v>166</v>
      </c>
      <c r="C169" s="1" t="s">
        <v>179</v>
      </c>
      <c r="D169" s="1" t="s">
        <v>568</v>
      </c>
      <c r="E169" s="1" t="s">
        <v>35</v>
      </c>
      <c r="F169" s="1" t="str">
        <f>_xlfn.XLOOKUP($B169,'August 2025'!B:B,'July 2025'!F:F)</f>
        <v>Manufacturing</v>
      </c>
      <c r="G169" s="11">
        <v>13500</v>
      </c>
      <c r="H169" s="1">
        <v>11540</v>
      </c>
      <c r="I169" s="1">
        <v>900</v>
      </c>
      <c r="J169" s="1">
        <v>376</v>
      </c>
      <c r="K169" s="1" t="str">
        <f>_xlfn.XLOOKUP('August 2025'!B169,'August 2025'!B:B,'July 2025'!K:K)</f>
        <v>L-9</v>
      </c>
    </row>
    <row r="170" spans="1:11" hidden="1" x14ac:dyDescent="0.3">
      <c r="A170" s="1">
        <v>169</v>
      </c>
      <c r="B170" s="1">
        <v>109</v>
      </c>
      <c r="C170" s="1" t="s">
        <v>362</v>
      </c>
      <c r="D170" s="1" t="s">
        <v>564</v>
      </c>
      <c r="E170" s="1" t="s">
        <v>76</v>
      </c>
      <c r="F170" s="1" t="str">
        <f>_xlfn.XLOOKUP($B170,'August 2025'!B:B,'July 2025'!F:F)</f>
        <v>D2C</v>
      </c>
      <c r="G170" s="11">
        <v>15000</v>
      </c>
      <c r="H170" s="1">
        <v>14516</v>
      </c>
      <c r="I170" s="1">
        <v>1132</v>
      </c>
      <c r="J170" s="1">
        <v>472</v>
      </c>
      <c r="K170" s="1" t="str">
        <f>_xlfn.XLOOKUP('August 2025'!B170,'August 2025'!B:B,'July 2025'!K:K)</f>
        <v>L-6</v>
      </c>
    </row>
    <row r="171" spans="1:11" hidden="1" x14ac:dyDescent="0.3">
      <c r="A171" s="1">
        <v>170</v>
      </c>
      <c r="B171" s="1">
        <v>10189</v>
      </c>
      <c r="C171" s="1" t="s">
        <v>356</v>
      </c>
      <c r="D171" s="1" t="s">
        <v>565</v>
      </c>
      <c r="E171" s="1" t="s">
        <v>35</v>
      </c>
      <c r="F171" s="1" t="str">
        <f>_xlfn.XLOOKUP($B171,'August 2025'!B:B,'July 2025'!F:F)</f>
        <v>Manufacturing</v>
      </c>
      <c r="G171" s="11">
        <v>13000</v>
      </c>
      <c r="H171" s="1">
        <v>10484</v>
      </c>
      <c r="I171" s="1">
        <v>0</v>
      </c>
      <c r="J171" s="1">
        <v>0</v>
      </c>
      <c r="K171" s="1" t="str">
        <f>_xlfn.XLOOKUP('August 2025'!B171,'August 2025'!B:B,'July 2025'!K:K)</f>
        <v>L-9</v>
      </c>
    </row>
    <row r="172" spans="1:11" hidden="1" x14ac:dyDescent="0.3">
      <c r="A172" s="1">
        <v>171</v>
      </c>
      <c r="B172" s="1">
        <v>10190</v>
      </c>
      <c r="C172" s="1" t="s">
        <v>357</v>
      </c>
      <c r="D172" s="1" t="s">
        <v>565</v>
      </c>
      <c r="E172" s="1" t="s">
        <v>61</v>
      </c>
      <c r="F172" s="1" t="str">
        <f>_xlfn.XLOOKUP($B172,'August 2025'!B:B,'July 2025'!F:F)</f>
        <v>Manufacturing</v>
      </c>
      <c r="G172" s="11">
        <v>12500</v>
      </c>
      <c r="H172" s="1">
        <v>0</v>
      </c>
      <c r="I172" s="1">
        <v>0</v>
      </c>
      <c r="J172" s="1">
        <v>0</v>
      </c>
      <c r="K172" s="1" t="str">
        <f>_xlfn.XLOOKUP('August 2025'!B172,'August 2025'!B:B,'July 2025'!K:K)</f>
        <v>L-9</v>
      </c>
    </row>
    <row r="173" spans="1:11" hidden="1" x14ac:dyDescent="0.3">
      <c r="A173" s="1">
        <v>172</v>
      </c>
      <c r="B173" s="1">
        <v>10191</v>
      </c>
      <c r="C173" s="1" t="s">
        <v>358</v>
      </c>
      <c r="D173" s="1" t="s">
        <v>565</v>
      </c>
      <c r="E173" s="1" t="s">
        <v>53</v>
      </c>
      <c r="F173" s="1" t="str">
        <f>_xlfn.XLOOKUP($B173,'August 2025'!B:B,'July 2025'!F:F)</f>
        <v>Domestic</v>
      </c>
      <c r="G173" s="11">
        <v>11500</v>
      </c>
      <c r="H173" s="1">
        <v>0</v>
      </c>
      <c r="I173" s="1">
        <v>0</v>
      </c>
      <c r="J173" s="1">
        <v>0</v>
      </c>
      <c r="K173" s="1" t="str">
        <f>_xlfn.XLOOKUP('August 2025'!B173,'August 2025'!B:B,'July 2025'!K:K)</f>
        <v>L-10</v>
      </c>
    </row>
    <row r="174" spans="1:11" hidden="1" x14ac:dyDescent="0.3">
      <c r="A174" s="1">
        <v>173</v>
      </c>
      <c r="B174" s="1">
        <v>10196</v>
      </c>
      <c r="C174" s="1" t="s">
        <v>368</v>
      </c>
      <c r="D174" s="1" t="s">
        <v>565</v>
      </c>
      <c r="E174" s="1" t="s">
        <v>35</v>
      </c>
      <c r="F174" s="1" t="str">
        <f>_xlfn.XLOOKUP($B174,'August 2025'!B:B,'July 2025'!F:F)</f>
        <v>Manufacturing</v>
      </c>
      <c r="G174" s="11">
        <v>12500</v>
      </c>
      <c r="H174" s="1">
        <v>8468</v>
      </c>
      <c r="I174" s="1">
        <v>0</v>
      </c>
      <c r="J174" s="1">
        <v>0</v>
      </c>
      <c r="K174" s="1" t="str">
        <f>_xlfn.XLOOKUP('August 2025'!B174,'August 2025'!B:B,'July 2025'!K:K)</f>
        <v>L-9</v>
      </c>
    </row>
    <row r="175" spans="1:11" hidden="1" x14ac:dyDescent="0.3">
      <c r="A175" s="1">
        <v>174</v>
      </c>
      <c r="B175" s="1">
        <v>10195</v>
      </c>
      <c r="C175" s="1" t="s">
        <v>358</v>
      </c>
      <c r="D175" s="1" t="s">
        <v>565</v>
      </c>
      <c r="E175" s="1" t="s">
        <v>35</v>
      </c>
      <c r="F175" s="1" t="str">
        <f>_xlfn.XLOOKUP($B175,'August 2025'!B:B,'July 2025'!F:F)</f>
        <v>Domestic</v>
      </c>
      <c r="G175" s="11">
        <v>12000</v>
      </c>
      <c r="H175" s="1">
        <v>0</v>
      </c>
      <c r="I175" s="1">
        <v>0</v>
      </c>
      <c r="J175" s="1">
        <v>0</v>
      </c>
      <c r="K175" s="1" t="s">
        <v>555</v>
      </c>
    </row>
    <row r="176" spans="1:11" hidden="1" x14ac:dyDescent="0.3">
      <c r="A176" s="1">
        <v>175</v>
      </c>
      <c r="B176" s="1">
        <v>110</v>
      </c>
      <c r="C176" s="1" t="s">
        <v>369</v>
      </c>
      <c r="D176" s="1" t="s">
        <v>564</v>
      </c>
      <c r="E176" s="1" t="s">
        <v>10</v>
      </c>
      <c r="F176" s="1" t="str">
        <f>_xlfn.XLOOKUP($B176,'August 2025'!B:B,'July 2025'!F:F)</f>
        <v xml:space="preserve">Admin </v>
      </c>
      <c r="G176" s="11">
        <v>23170</v>
      </c>
      <c r="H176" s="1">
        <v>2242</v>
      </c>
      <c r="I176" s="1">
        <v>175</v>
      </c>
      <c r="J176" s="1">
        <v>0</v>
      </c>
      <c r="K176" s="1" t="str">
        <f>_xlfn.XLOOKUP('August 2025'!B176,'August 2025'!B:B,'July 2025'!K:K)</f>
        <v>L-6</v>
      </c>
    </row>
    <row r="177" spans="1:11" hidden="1" x14ac:dyDescent="0.3">
      <c r="A177" s="1">
        <v>176</v>
      </c>
      <c r="B177" s="1">
        <v>10192</v>
      </c>
      <c r="C177" s="1" t="s">
        <v>238</v>
      </c>
      <c r="D177" s="1" t="s">
        <v>565</v>
      </c>
      <c r="E177" s="1" t="s">
        <v>35</v>
      </c>
      <c r="F177" s="1" t="str">
        <f>_xlfn.XLOOKUP($B177,'August 2025'!B:B,'July 2025'!F:F)</f>
        <v>Manufacturing</v>
      </c>
      <c r="G177" s="11">
        <v>10500</v>
      </c>
      <c r="H177" s="1">
        <v>10162</v>
      </c>
      <c r="I177" s="1">
        <v>0</v>
      </c>
      <c r="J177" s="1">
        <v>0</v>
      </c>
      <c r="K177" s="1" t="str">
        <f>_xlfn.XLOOKUP('August 2025'!B177,'August 2025'!B:B,'July 2025'!K:K)</f>
        <v>L-9</v>
      </c>
    </row>
    <row r="178" spans="1:11" hidden="1" x14ac:dyDescent="0.3">
      <c r="A178" s="1">
        <v>177</v>
      </c>
      <c r="B178" s="1">
        <v>139</v>
      </c>
      <c r="C178" s="1" t="s">
        <v>386</v>
      </c>
      <c r="D178" s="1" t="s">
        <v>564</v>
      </c>
      <c r="E178" s="1" t="s">
        <v>12</v>
      </c>
      <c r="F178" s="1" t="str">
        <f>_xlfn.XLOOKUP($B178,'August 2025'!B:B,'July 2025'!F:F)</f>
        <v>Manufacturing</v>
      </c>
      <c r="G178" s="11">
        <v>25000</v>
      </c>
      <c r="H178" s="1">
        <v>24193</v>
      </c>
      <c r="I178" s="1">
        <v>1887</v>
      </c>
      <c r="J178" s="1">
        <v>0</v>
      </c>
      <c r="K178" s="1" t="s">
        <v>554</v>
      </c>
    </row>
    <row r="179" spans="1:11" hidden="1" x14ac:dyDescent="0.3">
      <c r="A179" s="1">
        <v>178</v>
      </c>
      <c r="B179" s="1">
        <v>193</v>
      </c>
      <c r="C179" s="1" t="s">
        <v>430</v>
      </c>
      <c r="D179" s="1" t="s">
        <v>564</v>
      </c>
      <c r="E179" s="1" t="s">
        <v>67</v>
      </c>
      <c r="F179" s="1" t="str">
        <f>_xlfn.XLOOKUP($B179,'August 2025'!B:B,'July 2025'!F:F)</f>
        <v>Manufacturing</v>
      </c>
      <c r="G179" s="11">
        <v>30000</v>
      </c>
      <c r="H179" s="1">
        <v>2420</v>
      </c>
      <c r="I179" s="1">
        <v>0</v>
      </c>
      <c r="J179" s="1">
        <v>0</v>
      </c>
      <c r="K179" s="1" t="s">
        <v>555</v>
      </c>
    </row>
    <row r="180" spans="1:11" hidden="1" x14ac:dyDescent="0.3">
      <c r="A180" s="1">
        <v>179</v>
      </c>
      <c r="B180" s="1">
        <v>194</v>
      </c>
      <c r="C180" s="1" t="s">
        <v>431</v>
      </c>
      <c r="D180" s="1" t="s">
        <v>564</v>
      </c>
      <c r="E180" s="1" t="s">
        <v>67</v>
      </c>
      <c r="F180" s="1" t="str">
        <f>_xlfn.XLOOKUP($B180,'August 2025'!B:B,'July 2025'!F:F)</f>
        <v>Manufacturing</v>
      </c>
      <c r="G180" s="11">
        <v>30000</v>
      </c>
      <c r="H180" s="1">
        <v>0</v>
      </c>
      <c r="I180" s="1">
        <v>0</v>
      </c>
      <c r="J180" s="1">
        <v>0</v>
      </c>
      <c r="K180" s="1" t="s">
        <v>555</v>
      </c>
    </row>
    <row r="181" spans="1:11" hidden="1" x14ac:dyDescent="0.3">
      <c r="A181" s="1">
        <v>180</v>
      </c>
      <c r="B181" s="1">
        <v>10224</v>
      </c>
      <c r="C181" s="1" t="s">
        <v>410</v>
      </c>
      <c r="D181" s="1" t="s">
        <v>565</v>
      </c>
      <c r="E181" s="1" t="s">
        <v>35</v>
      </c>
      <c r="F181" s="1" t="str">
        <f>_xlfn.XLOOKUP($B181,'August 2025'!B:B,'July 2025'!F:F)</f>
        <v>Manufacturing</v>
      </c>
      <c r="G181" s="11">
        <v>11500</v>
      </c>
      <c r="H181" s="1">
        <v>0</v>
      </c>
      <c r="I181" s="1">
        <v>0</v>
      </c>
      <c r="J181" s="1">
        <v>0</v>
      </c>
      <c r="K181" s="1" t="str">
        <f>_xlfn.XLOOKUP('August 2025'!B181,'August 2025'!B:B,'July 2025'!K:K)</f>
        <v>L-9</v>
      </c>
    </row>
    <row r="182" spans="1:11" hidden="1" x14ac:dyDescent="0.3">
      <c r="A182" s="1">
        <v>181</v>
      </c>
      <c r="B182" s="1">
        <v>119</v>
      </c>
      <c r="C182" s="1" t="s">
        <v>382</v>
      </c>
      <c r="D182" s="1" t="s">
        <v>564</v>
      </c>
      <c r="E182" s="1" t="s">
        <v>67</v>
      </c>
      <c r="F182" s="1" t="str">
        <f>_xlfn.XLOOKUP($B182,'August 2025'!B:B,'July 2025'!F:F)</f>
        <v>Manufacturing</v>
      </c>
      <c r="G182" s="11">
        <v>30000</v>
      </c>
      <c r="H182" s="1">
        <v>16292</v>
      </c>
      <c r="I182" s="1">
        <v>0</v>
      </c>
      <c r="J182" s="1">
        <v>0</v>
      </c>
      <c r="K182" s="1" t="s">
        <v>555</v>
      </c>
    </row>
    <row r="183" spans="1:11" hidden="1" x14ac:dyDescent="0.3">
      <c r="A183" s="1">
        <v>182</v>
      </c>
      <c r="B183" s="1">
        <v>171</v>
      </c>
      <c r="C183" s="1" t="s">
        <v>412</v>
      </c>
      <c r="D183" s="1" t="s">
        <v>564</v>
      </c>
      <c r="E183" s="1" t="s">
        <v>61</v>
      </c>
      <c r="F183" s="1" t="str">
        <f>_xlfn.XLOOKUP($B183,'August 2025'!B:B,'July 2025'!F:F)</f>
        <v>Manufacturing</v>
      </c>
      <c r="G183" s="11">
        <v>12000</v>
      </c>
      <c r="H183" s="1">
        <v>9290</v>
      </c>
      <c r="I183" s="1">
        <v>725</v>
      </c>
      <c r="J183" s="1">
        <v>302</v>
      </c>
      <c r="K183" s="1" t="str">
        <f>_xlfn.XLOOKUP('August 2025'!B183,'August 2025'!B:B,'July 2025'!K:K)</f>
        <v>L-9</v>
      </c>
    </row>
    <row r="184" spans="1:11" hidden="1" x14ac:dyDescent="0.3">
      <c r="A184" s="1">
        <v>183</v>
      </c>
      <c r="B184" s="1">
        <v>10217</v>
      </c>
      <c r="C184" s="1" t="s">
        <v>402</v>
      </c>
      <c r="D184" s="1" t="s">
        <v>565</v>
      </c>
      <c r="E184" s="1" t="s">
        <v>53</v>
      </c>
      <c r="F184" s="1" t="str">
        <f>_xlfn.XLOOKUP($B184,'August 2025'!B:B,'July 2025'!F:F)</f>
        <v>Manufacturing</v>
      </c>
      <c r="G184" s="11">
        <v>12000</v>
      </c>
      <c r="H184" s="1">
        <v>3484</v>
      </c>
      <c r="I184" s="1">
        <v>0</v>
      </c>
      <c r="J184" s="1">
        <v>0</v>
      </c>
      <c r="K184" s="1" t="str">
        <f>_xlfn.XLOOKUP('August 2025'!B184,'August 2025'!B:B,'July 2025'!K:K)</f>
        <v>L-10</v>
      </c>
    </row>
    <row r="185" spans="1:11" hidden="1" x14ac:dyDescent="0.3">
      <c r="A185" s="1">
        <v>184</v>
      </c>
      <c r="B185" s="1">
        <v>10215</v>
      </c>
      <c r="C185" s="1" t="s">
        <v>400</v>
      </c>
      <c r="D185" s="1" t="s">
        <v>565</v>
      </c>
      <c r="E185" s="1" t="s">
        <v>53</v>
      </c>
      <c r="F185" s="1" t="str">
        <f>_xlfn.XLOOKUP($B185,'August 2025'!B:B,'July 2025'!F:F)</f>
        <v>Manufacturing</v>
      </c>
      <c r="G185" s="11">
        <v>10000</v>
      </c>
      <c r="H185" s="1">
        <v>0</v>
      </c>
      <c r="I185" s="1">
        <v>0</v>
      </c>
      <c r="J185" s="1">
        <v>0</v>
      </c>
      <c r="K185" s="1" t="str">
        <f>_xlfn.XLOOKUP('August 2025'!B185,'August 2025'!B:B,'July 2025'!K:K)</f>
        <v>L-10</v>
      </c>
    </row>
    <row r="186" spans="1:11" hidden="1" x14ac:dyDescent="0.3">
      <c r="A186" s="1">
        <v>185</v>
      </c>
      <c r="B186" s="1">
        <v>10237</v>
      </c>
      <c r="C186" s="1" t="s">
        <v>426</v>
      </c>
      <c r="D186" s="1" t="s">
        <v>565</v>
      </c>
      <c r="E186" s="1" t="s">
        <v>35</v>
      </c>
      <c r="F186" s="1" t="str">
        <f>_xlfn.XLOOKUP($B186,'August 2025'!B:B,'July 2025'!F:F)</f>
        <v>Manufacturing</v>
      </c>
      <c r="G186" s="11">
        <v>13000</v>
      </c>
      <c r="H186" s="1">
        <v>6710</v>
      </c>
      <c r="I186" s="1">
        <v>0</v>
      </c>
      <c r="J186" s="1">
        <v>0</v>
      </c>
      <c r="K186" s="1" t="str">
        <f>_xlfn.XLOOKUP('August 2025'!B186,'August 2025'!B:B,'July 2025'!K:K)</f>
        <v>L-9</v>
      </c>
    </row>
    <row r="187" spans="1:11" hidden="1" x14ac:dyDescent="0.3">
      <c r="A187" s="1">
        <v>186</v>
      </c>
      <c r="B187" s="1">
        <v>157</v>
      </c>
      <c r="C187" s="1" t="s">
        <v>393</v>
      </c>
      <c r="D187" s="1" t="s">
        <v>564</v>
      </c>
      <c r="E187" s="1" t="s">
        <v>35</v>
      </c>
      <c r="F187" s="1" t="str">
        <f>_xlfn.XLOOKUP($B187,'August 2025'!B:B,'July 2025'!F:F)</f>
        <v>Manufacturing</v>
      </c>
      <c r="G187" s="11">
        <v>13500</v>
      </c>
      <c r="H187" s="1">
        <v>10016</v>
      </c>
      <c r="I187" s="1">
        <v>781</v>
      </c>
      <c r="J187" s="1">
        <v>326</v>
      </c>
      <c r="K187" s="1" t="str">
        <f>_xlfn.XLOOKUP('August 2025'!B187,'August 2025'!B:B,'July 2025'!K:K)</f>
        <v>L-9</v>
      </c>
    </row>
    <row r="188" spans="1:11" hidden="1" x14ac:dyDescent="0.3">
      <c r="A188" s="1">
        <v>187</v>
      </c>
      <c r="B188" s="1">
        <v>10218</v>
      </c>
      <c r="C188" s="1" t="s">
        <v>403</v>
      </c>
      <c r="D188" s="1" t="s">
        <v>565</v>
      </c>
      <c r="E188" s="1" t="s">
        <v>53</v>
      </c>
      <c r="F188" s="1" t="str">
        <f>_xlfn.XLOOKUP($B188,'August 2025'!B:B,'July 2025'!F:F)</f>
        <v>Manufacturing</v>
      </c>
      <c r="G188" s="11">
        <v>12500</v>
      </c>
      <c r="H188" s="1">
        <v>0</v>
      </c>
      <c r="I188" s="1">
        <v>0</v>
      </c>
      <c r="J188" s="1">
        <v>0</v>
      </c>
      <c r="K188" s="1" t="str">
        <f>_xlfn.XLOOKUP('August 2025'!B188,'August 2025'!B:B,'July 2025'!K:K)</f>
        <v>L-10</v>
      </c>
    </row>
    <row r="189" spans="1:11" hidden="1" x14ac:dyDescent="0.3">
      <c r="A189" s="1">
        <v>188</v>
      </c>
      <c r="B189" s="1">
        <v>159</v>
      </c>
      <c r="C189" s="1" t="s">
        <v>389</v>
      </c>
      <c r="D189" s="1" t="s">
        <v>564</v>
      </c>
      <c r="E189" s="1" t="s">
        <v>53</v>
      </c>
      <c r="F189" s="1" t="str">
        <f>_xlfn.XLOOKUP($B189,'August 2025'!B:B,'July 2025'!F:F)</f>
        <v>Manufacturing</v>
      </c>
      <c r="G189" s="11">
        <v>11500</v>
      </c>
      <c r="H189" s="1">
        <v>8532</v>
      </c>
      <c r="I189" s="1">
        <v>665</v>
      </c>
      <c r="J189" s="1">
        <v>278</v>
      </c>
      <c r="K189" s="1" t="str">
        <f>_xlfn.XLOOKUP('August 2025'!B189,'August 2025'!B:B,'July 2025'!K:K)</f>
        <v>L-10</v>
      </c>
    </row>
    <row r="190" spans="1:11" hidden="1" x14ac:dyDescent="0.3">
      <c r="A190" s="1">
        <v>189</v>
      </c>
      <c r="B190" s="1">
        <v>162</v>
      </c>
      <c r="C190" s="1" t="s">
        <v>392</v>
      </c>
      <c r="D190" s="1" t="s">
        <v>564</v>
      </c>
      <c r="E190" s="1" t="s">
        <v>130</v>
      </c>
      <c r="F190" s="1" t="str">
        <f>_xlfn.XLOOKUP($B190,'August 2025'!B:B,'July 2025'!F:F)</f>
        <v>Manufacturing</v>
      </c>
      <c r="G190" s="11">
        <v>10500</v>
      </c>
      <c r="H190" s="1">
        <v>7113</v>
      </c>
      <c r="I190" s="1">
        <v>555</v>
      </c>
      <c r="J190" s="1">
        <v>232</v>
      </c>
      <c r="K190" s="1" t="str">
        <f>_xlfn.XLOOKUP('August 2025'!B190,'August 2025'!B:B,'July 2025'!K:K)</f>
        <v>L-9</v>
      </c>
    </row>
    <row r="191" spans="1:11" hidden="1" x14ac:dyDescent="0.3">
      <c r="A191" s="1">
        <v>190</v>
      </c>
      <c r="B191" s="1">
        <v>10214</v>
      </c>
      <c r="C191" s="1" t="s">
        <v>399</v>
      </c>
      <c r="D191" s="1" t="s">
        <v>565</v>
      </c>
      <c r="E191" s="1" t="s">
        <v>35</v>
      </c>
      <c r="F191" s="1" t="str">
        <f>_xlfn.XLOOKUP($B191,'August 2025'!B:B,'July 2025'!F:F)</f>
        <v>Manufacturing</v>
      </c>
      <c r="G191" s="11">
        <v>12000</v>
      </c>
      <c r="H191" s="1">
        <v>10838</v>
      </c>
      <c r="I191" s="1">
        <v>0</v>
      </c>
      <c r="J191" s="1">
        <v>0</v>
      </c>
      <c r="K191" s="1" t="str">
        <f>_xlfn.XLOOKUP('August 2025'!B191,'August 2025'!B:B,'July 2025'!K:K)</f>
        <v>L-9</v>
      </c>
    </row>
    <row r="192" spans="1:11" hidden="1" x14ac:dyDescent="0.3">
      <c r="A192" s="1">
        <v>191</v>
      </c>
      <c r="B192" s="1">
        <v>10213</v>
      </c>
      <c r="C192" s="1" t="s">
        <v>398</v>
      </c>
      <c r="D192" s="1" t="s">
        <v>565</v>
      </c>
      <c r="E192" s="1" t="s">
        <v>53</v>
      </c>
      <c r="F192" s="1" t="str">
        <f>_xlfn.XLOOKUP($B192,'August 2025'!B:B,'July 2025'!F:F)</f>
        <v>Manufacturing</v>
      </c>
      <c r="G192" s="11">
        <v>11500</v>
      </c>
      <c r="H192" s="1">
        <v>10387</v>
      </c>
      <c r="I192" s="1">
        <v>0</v>
      </c>
      <c r="J192" s="1">
        <v>0</v>
      </c>
      <c r="K192" s="1" t="str">
        <f>_xlfn.XLOOKUP('August 2025'!B192,'August 2025'!B:B,'July 2025'!K:K)</f>
        <v>L-10</v>
      </c>
    </row>
    <row r="193" spans="1:11" hidden="1" x14ac:dyDescent="0.3">
      <c r="A193" s="1">
        <v>192</v>
      </c>
      <c r="B193" s="1">
        <v>169</v>
      </c>
      <c r="C193" s="1" t="s">
        <v>283</v>
      </c>
      <c r="D193" s="1" t="s">
        <v>564</v>
      </c>
      <c r="E193" s="1" t="s">
        <v>53</v>
      </c>
      <c r="F193" s="1" t="str">
        <f>_xlfn.XLOOKUP($B193,'August 2025'!B:B,'July 2025'!F:F)</f>
        <v>Manufacturing</v>
      </c>
      <c r="G193" s="11">
        <v>11500</v>
      </c>
      <c r="H193" s="1">
        <v>10016</v>
      </c>
      <c r="I193" s="1">
        <v>781</v>
      </c>
      <c r="J193" s="1">
        <v>326</v>
      </c>
      <c r="K193" s="1" t="str">
        <f>_xlfn.XLOOKUP('August 2025'!B193,'August 2025'!B:B,'July 2025'!K:K)</f>
        <v>L-10</v>
      </c>
    </row>
    <row r="194" spans="1:11" hidden="1" x14ac:dyDescent="0.3">
      <c r="A194" s="1">
        <v>193</v>
      </c>
      <c r="B194" s="1">
        <v>10221</v>
      </c>
      <c r="C194" s="1" t="s">
        <v>407</v>
      </c>
      <c r="D194" s="1" t="s">
        <v>565</v>
      </c>
      <c r="E194" s="1" t="s">
        <v>53</v>
      </c>
      <c r="F194" s="1" t="str">
        <f>_xlfn.XLOOKUP($B194,'August 2025'!B:B,'July 2025'!F:F)</f>
        <v>Manufacturing</v>
      </c>
      <c r="G194" s="11">
        <v>11000</v>
      </c>
      <c r="H194" s="1">
        <v>7807</v>
      </c>
      <c r="I194" s="1">
        <v>0</v>
      </c>
      <c r="J194" s="1">
        <v>0</v>
      </c>
      <c r="K194" s="1" t="str">
        <f>_xlfn.XLOOKUP('August 2025'!B194,'August 2025'!B:B,'July 2025'!K:K)</f>
        <v>L-10</v>
      </c>
    </row>
    <row r="195" spans="1:11" hidden="1" x14ac:dyDescent="0.3">
      <c r="A195" s="1">
        <v>194</v>
      </c>
      <c r="B195" s="1">
        <v>10223</v>
      </c>
      <c r="C195" s="1" t="s">
        <v>409</v>
      </c>
      <c r="D195" s="1" t="s">
        <v>565</v>
      </c>
      <c r="E195" s="1" t="s">
        <v>61</v>
      </c>
      <c r="F195" s="1" t="str">
        <f>_xlfn.XLOOKUP($B195,'August 2025'!B:B,'July 2025'!F:F)</f>
        <v>Manufacturing</v>
      </c>
      <c r="G195" s="11">
        <v>12500</v>
      </c>
      <c r="H195" s="1">
        <v>5040</v>
      </c>
      <c r="I195" s="1">
        <v>0</v>
      </c>
      <c r="J195" s="1">
        <v>0</v>
      </c>
      <c r="K195" s="1" t="str">
        <f>_xlfn.XLOOKUP('August 2025'!B195,'August 2025'!B:B,'July 2025'!K:K)</f>
        <v>L-9</v>
      </c>
    </row>
    <row r="196" spans="1:11" hidden="1" x14ac:dyDescent="0.3">
      <c r="A196" s="1">
        <v>195</v>
      </c>
      <c r="B196" s="1">
        <v>10220</v>
      </c>
      <c r="C196" s="1" t="s">
        <v>406</v>
      </c>
      <c r="D196" s="1" t="s">
        <v>565</v>
      </c>
      <c r="E196" s="1" t="s">
        <v>405</v>
      </c>
      <c r="F196" s="1" t="str">
        <f>_xlfn.XLOOKUP($B196,'August 2025'!B:B,'July 2025'!F:F)</f>
        <v>Manufacturing</v>
      </c>
      <c r="G196" s="11">
        <v>11500</v>
      </c>
      <c r="H196" s="1">
        <v>6677</v>
      </c>
      <c r="I196" s="1">
        <v>0</v>
      </c>
      <c r="J196" s="1">
        <v>0</v>
      </c>
      <c r="K196" s="1" t="s">
        <v>556</v>
      </c>
    </row>
    <row r="197" spans="1:11" hidden="1" x14ac:dyDescent="0.3">
      <c r="A197" s="1">
        <v>196</v>
      </c>
      <c r="B197" s="1">
        <v>10235</v>
      </c>
      <c r="C197" s="1" t="s">
        <v>421</v>
      </c>
      <c r="D197" s="1" t="s">
        <v>565</v>
      </c>
      <c r="E197" s="1" t="s">
        <v>35</v>
      </c>
      <c r="F197" s="1" t="str">
        <f>_xlfn.XLOOKUP($B197,'August 2025'!B:B,'July 2025'!F:F)</f>
        <v>Manufacturing</v>
      </c>
      <c r="G197" s="11">
        <v>12500</v>
      </c>
      <c r="H197" s="1">
        <v>11693</v>
      </c>
      <c r="I197" s="1">
        <v>0</v>
      </c>
      <c r="J197" s="1">
        <v>0</v>
      </c>
      <c r="K197" s="1" t="str">
        <f>_xlfn.XLOOKUP('August 2025'!B197,'August 2025'!B:B,'July 2025'!K:K)</f>
        <v>L-9</v>
      </c>
    </row>
    <row r="198" spans="1:11" hidden="1" x14ac:dyDescent="0.3">
      <c r="A198" s="1">
        <v>197</v>
      </c>
      <c r="B198" s="1">
        <v>163</v>
      </c>
      <c r="C198" s="1" t="s">
        <v>388</v>
      </c>
      <c r="D198" s="1" t="s">
        <v>564</v>
      </c>
      <c r="E198" s="1" t="s">
        <v>35</v>
      </c>
      <c r="F198" s="1" t="str">
        <f>_xlfn.XLOOKUP($B198,'August 2025'!B:B,'July 2025'!F:F)</f>
        <v>Manufacturing</v>
      </c>
      <c r="G198" s="11">
        <v>11000</v>
      </c>
      <c r="H198" s="1">
        <v>10113</v>
      </c>
      <c r="I198" s="1">
        <v>789</v>
      </c>
      <c r="J198" s="1">
        <v>329</v>
      </c>
      <c r="K198" s="1" t="str">
        <f>_xlfn.XLOOKUP('August 2025'!B198,'August 2025'!B:B,'July 2025'!K:K)</f>
        <v>L-9</v>
      </c>
    </row>
    <row r="199" spans="1:11" hidden="1" x14ac:dyDescent="0.3">
      <c r="A199" s="1">
        <v>198</v>
      </c>
      <c r="B199" s="1">
        <v>164</v>
      </c>
      <c r="C199" s="1" t="s">
        <v>387</v>
      </c>
      <c r="D199" s="1" t="s">
        <v>564</v>
      </c>
      <c r="E199" s="1" t="s">
        <v>35</v>
      </c>
      <c r="F199" s="1" t="str">
        <f>_xlfn.XLOOKUP($B199,'August 2025'!B:B,'July 2025'!F:F)</f>
        <v>Domestic</v>
      </c>
      <c r="G199" s="11">
        <v>11000</v>
      </c>
      <c r="H199" s="1">
        <v>8871</v>
      </c>
      <c r="I199" s="1">
        <v>692</v>
      </c>
      <c r="J199" s="1">
        <v>289</v>
      </c>
      <c r="K199" s="1" t="s">
        <v>555</v>
      </c>
    </row>
    <row r="200" spans="1:11" hidden="1" x14ac:dyDescent="0.3">
      <c r="A200" s="1">
        <v>199</v>
      </c>
      <c r="B200" s="1">
        <v>165</v>
      </c>
      <c r="C200" s="1" t="s">
        <v>391</v>
      </c>
      <c r="D200" s="1" t="s">
        <v>564</v>
      </c>
      <c r="E200" s="1" t="s">
        <v>35</v>
      </c>
      <c r="F200" s="1" t="str">
        <f>_xlfn.XLOOKUP($B200,'August 2025'!B:B,'July 2025'!F:F)</f>
        <v>Manufacturing</v>
      </c>
      <c r="G200" s="11">
        <v>11000</v>
      </c>
      <c r="H200" s="1">
        <v>8162</v>
      </c>
      <c r="I200" s="1">
        <v>637</v>
      </c>
      <c r="J200" s="1">
        <v>266</v>
      </c>
      <c r="K200" s="1" t="str">
        <f>_xlfn.XLOOKUP('August 2025'!B200,'August 2025'!B:B,'July 2025'!K:K)</f>
        <v>L-9</v>
      </c>
    </row>
    <row r="201" spans="1:11" hidden="1" x14ac:dyDescent="0.3">
      <c r="A201" s="1">
        <v>200</v>
      </c>
      <c r="B201" s="1">
        <v>10225</v>
      </c>
      <c r="C201" s="1" t="s">
        <v>411</v>
      </c>
      <c r="D201" s="1" t="s">
        <v>565</v>
      </c>
      <c r="E201" s="1" t="s">
        <v>35</v>
      </c>
      <c r="F201" s="1" t="str">
        <f>_xlfn.XLOOKUP($B201,'August 2025'!B:B,'July 2025'!F:F)</f>
        <v>Manufacturing</v>
      </c>
      <c r="G201" s="11">
        <v>10500</v>
      </c>
      <c r="H201" s="1">
        <v>8468</v>
      </c>
      <c r="I201" s="1">
        <v>0</v>
      </c>
      <c r="J201" s="1">
        <v>0</v>
      </c>
      <c r="K201" s="1" t="str">
        <f>_xlfn.XLOOKUP('August 2025'!B201,'August 2025'!B:B,'July 2025'!K:K)</f>
        <v>L-9</v>
      </c>
    </row>
    <row r="202" spans="1:11" hidden="1" x14ac:dyDescent="0.3">
      <c r="A202" s="1">
        <v>201</v>
      </c>
      <c r="B202" s="1">
        <v>10230</v>
      </c>
      <c r="C202" s="1" t="s">
        <v>416</v>
      </c>
      <c r="D202" s="1" t="s">
        <v>565</v>
      </c>
      <c r="E202" s="1" t="s">
        <v>405</v>
      </c>
      <c r="F202" s="1" t="str">
        <f>_xlfn.XLOOKUP($B202,'August 2025'!B:B,'July 2025'!F:F)</f>
        <v>Manufacturing</v>
      </c>
      <c r="G202" s="11">
        <v>12500</v>
      </c>
      <c r="H202" s="1">
        <v>11693</v>
      </c>
      <c r="I202" s="1">
        <v>0</v>
      </c>
      <c r="J202" s="1">
        <v>0</v>
      </c>
      <c r="K202" s="1" t="str">
        <f>_xlfn.XLOOKUP('August 2025'!B202,'August 2025'!B:B,'July 2025'!K:K)</f>
        <v>L-9</v>
      </c>
    </row>
    <row r="203" spans="1:11" hidden="1" x14ac:dyDescent="0.3">
      <c r="A203" s="1">
        <v>202</v>
      </c>
      <c r="B203" s="1">
        <v>116</v>
      </c>
      <c r="C203" s="1" t="s">
        <v>379</v>
      </c>
      <c r="D203" s="1" t="s">
        <v>564</v>
      </c>
      <c r="E203" s="1" t="s">
        <v>67</v>
      </c>
      <c r="F203" s="1" t="str">
        <f>_xlfn.XLOOKUP($B203,'August 2025'!B:B,'July 2025'!F:F)</f>
        <v>Manufacturing</v>
      </c>
      <c r="G203" s="11">
        <v>30000</v>
      </c>
      <c r="H203" s="1">
        <v>13130</v>
      </c>
      <c r="I203" s="1">
        <v>0</v>
      </c>
      <c r="J203" s="1">
        <v>0</v>
      </c>
      <c r="K203" s="1" t="s">
        <v>555</v>
      </c>
    </row>
    <row r="204" spans="1:11" hidden="1" x14ac:dyDescent="0.3">
      <c r="A204" s="1">
        <v>203</v>
      </c>
      <c r="B204" s="1">
        <v>117</v>
      </c>
      <c r="C204" s="1" t="s">
        <v>380</v>
      </c>
      <c r="D204" s="1" t="s">
        <v>564</v>
      </c>
      <c r="E204" s="1" t="s">
        <v>67</v>
      </c>
      <c r="F204" s="1" t="str">
        <f>_xlfn.XLOOKUP($B204,'August 2025'!B:B,'July 2025'!F:F)</f>
        <v>Manufacturing</v>
      </c>
      <c r="G204" s="11">
        <v>30000</v>
      </c>
      <c r="H204" s="1">
        <v>9324</v>
      </c>
      <c r="I204" s="1">
        <v>0</v>
      </c>
      <c r="J204" s="1">
        <v>0</v>
      </c>
      <c r="K204" s="1" t="s">
        <v>555</v>
      </c>
    </row>
    <row r="205" spans="1:11" hidden="1" x14ac:dyDescent="0.3">
      <c r="A205" s="1">
        <v>204</v>
      </c>
      <c r="B205" s="1">
        <v>10222</v>
      </c>
      <c r="C205" s="1" t="s">
        <v>408</v>
      </c>
      <c r="D205" s="1" t="s">
        <v>565</v>
      </c>
      <c r="E205" s="1" t="s">
        <v>53</v>
      </c>
      <c r="F205" s="1" t="str">
        <f>_xlfn.XLOOKUP($B205,'August 2025'!B:B,'July 2025'!F:F)</f>
        <v>Manufacturing</v>
      </c>
      <c r="G205" s="11">
        <v>11500</v>
      </c>
      <c r="H205" s="1">
        <v>1113</v>
      </c>
      <c r="I205" s="1">
        <v>0</v>
      </c>
      <c r="J205" s="1">
        <v>0</v>
      </c>
      <c r="K205" s="1" t="str">
        <f>_xlfn.XLOOKUP('August 2025'!B205,'August 2025'!B:B,'July 2025'!K:K)</f>
        <v>L-9</v>
      </c>
    </row>
    <row r="206" spans="1:11" hidden="1" x14ac:dyDescent="0.3">
      <c r="A206" s="1">
        <v>205</v>
      </c>
      <c r="B206" s="1">
        <v>10229</v>
      </c>
      <c r="C206" s="1" t="s">
        <v>415</v>
      </c>
      <c r="D206" s="1" t="s">
        <v>565</v>
      </c>
      <c r="E206" s="1" t="s">
        <v>8</v>
      </c>
      <c r="F206" s="1" t="str">
        <f>_xlfn.XLOOKUP($B206,'August 2025'!B:B,'July 2025'!F:F)</f>
        <v>Manufacturing</v>
      </c>
      <c r="G206" s="11">
        <v>10000</v>
      </c>
      <c r="H206" s="1">
        <v>7097</v>
      </c>
      <c r="I206" s="1">
        <v>0</v>
      </c>
      <c r="J206" s="1">
        <v>0</v>
      </c>
      <c r="K206" s="1" t="str">
        <f>_xlfn.XLOOKUP('August 2025'!B206,'August 2025'!B:B,'July 2025'!K:K)</f>
        <v>L-9</v>
      </c>
    </row>
    <row r="207" spans="1:11" hidden="1" x14ac:dyDescent="0.3">
      <c r="A207" s="1">
        <v>206</v>
      </c>
      <c r="B207" s="1">
        <v>112</v>
      </c>
      <c r="C207" s="1" t="s">
        <v>422</v>
      </c>
      <c r="D207" s="1" t="s">
        <v>564</v>
      </c>
      <c r="E207" s="1" t="s">
        <v>423</v>
      </c>
      <c r="F207" s="1" t="s">
        <v>504</v>
      </c>
      <c r="G207" s="11">
        <v>50000</v>
      </c>
      <c r="H207" s="1">
        <v>50000</v>
      </c>
      <c r="I207" s="1">
        <v>1950</v>
      </c>
      <c r="J207" s="1">
        <v>0</v>
      </c>
      <c r="K207" s="1" t="s">
        <v>553</v>
      </c>
    </row>
    <row r="208" spans="1:11" hidden="1" x14ac:dyDescent="0.3">
      <c r="A208" s="1">
        <v>207</v>
      </c>
      <c r="B208" s="1">
        <v>121</v>
      </c>
      <c r="C208" s="1" t="s">
        <v>384</v>
      </c>
      <c r="D208" s="1" t="s">
        <v>564</v>
      </c>
      <c r="E208" s="1" t="s">
        <v>67</v>
      </c>
      <c r="F208" s="1" t="str">
        <f>_xlfn.XLOOKUP($B208,'August 2025'!B:B,'July 2025'!F:F)</f>
        <v>Manufacturing</v>
      </c>
      <c r="G208" s="11">
        <v>30000</v>
      </c>
      <c r="H208" s="1">
        <v>806</v>
      </c>
      <c r="I208" s="1">
        <v>0</v>
      </c>
      <c r="J208" s="1">
        <v>0</v>
      </c>
      <c r="K208" s="1" t="s">
        <v>555</v>
      </c>
    </row>
    <row r="209" spans="1:11" hidden="1" x14ac:dyDescent="0.3">
      <c r="A209" s="1">
        <v>208</v>
      </c>
      <c r="B209" s="1">
        <v>118</v>
      </c>
      <c r="C209" s="1" t="s">
        <v>381</v>
      </c>
      <c r="D209" s="1" t="s">
        <v>564</v>
      </c>
      <c r="E209" s="1" t="s">
        <v>67</v>
      </c>
      <c r="F209" s="1" t="str">
        <f>_xlfn.XLOOKUP($B209,'August 2025'!B:B,'July 2025'!F:F)</f>
        <v>Manufacturing</v>
      </c>
      <c r="G209" s="11">
        <v>30000</v>
      </c>
      <c r="H209" s="1">
        <v>0</v>
      </c>
      <c r="I209" s="1">
        <v>0</v>
      </c>
      <c r="J209" s="1">
        <v>0</v>
      </c>
      <c r="K209" s="1" t="s">
        <v>555</v>
      </c>
    </row>
    <row r="210" spans="1:11" hidden="1" x14ac:dyDescent="0.3">
      <c r="A210" s="1">
        <v>209</v>
      </c>
      <c r="B210" s="1">
        <v>145</v>
      </c>
      <c r="C210" s="1" t="s">
        <v>394</v>
      </c>
      <c r="D210" s="1" t="s">
        <v>564</v>
      </c>
      <c r="E210" s="1" t="s">
        <v>67</v>
      </c>
      <c r="F210" s="1" t="str">
        <f>_xlfn.XLOOKUP($B210,'August 2025'!B:B,'July 2025'!F:F)</f>
        <v>Manufacturing</v>
      </c>
      <c r="G210" s="11">
        <v>30000</v>
      </c>
      <c r="H210" s="1">
        <v>10317</v>
      </c>
      <c r="I210" s="1">
        <v>0</v>
      </c>
      <c r="J210" s="1">
        <v>0</v>
      </c>
      <c r="K210" s="1" t="s">
        <v>555</v>
      </c>
    </row>
    <row r="211" spans="1:11" hidden="1" x14ac:dyDescent="0.3">
      <c r="A211" s="1">
        <v>210</v>
      </c>
      <c r="B211" s="1">
        <v>10228</v>
      </c>
      <c r="C211" s="1" t="s">
        <v>414</v>
      </c>
      <c r="D211" s="1" t="s">
        <v>565</v>
      </c>
      <c r="E211" s="1" t="s">
        <v>35</v>
      </c>
      <c r="F211" s="1" t="str">
        <f>_xlfn.XLOOKUP($B211,'August 2025'!B:B,'July 2025'!F:F)</f>
        <v>Manufacturing</v>
      </c>
      <c r="G211" s="11">
        <v>12500</v>
      </c>
      <c r="H211" s="1">
        <v>10887</v>
      </c>
      <c r="I211" s="1">
        <v>0</v>
      </c>
      <c r="J211" s="1">
        <v>0</v>
      </c>
      <c r="K211" s="1" t="str">
        <f>_xlfn.XLOOKUP('August 2025'!B211,'August 2025'!B:B,'July 2025'!K:K)</f>
        <v>L-9</v>
      </c>
    </row>
    <row r="212" spans="1:11" hidden="1" x14ac:dyDescent="0.3">
      <c r="A212" s="1">
        <v>211</v>
      </c>
      <c r="B212" s="1">
        <v>120</v>
      </c>
      <c r="C212" s="1" t="s">
        <v>383</v>
      </c>
      <c r="D212" s="1" t="s">
        <v>564</v>
      </c>
      <c r="E212" s="1" t="s">
        <v>67</v>
      </c>
      <c r="F212" s="1" t="str">
        <f>_xlfn.XLOOKUP($B212,'August 2025'!B:B,'July 2025'!F:F)</f>
        <v>Manufacturing</v>
      </c>
      <c r="G212" s="11">
        <v>30000</v>
      </c>
      <c r="H212" s="1">
        <v>13343</v>
      </c>
      <c r="I212" s="1">
        <v>0</v>
      </c>
      <c r="J212" s="1">
        <v>0</v>
      </c>
      <c r="K212" s="1" t="s">
        <v>555</v>
      </c>
    </row>
    <row r="213" spans="1:11" hidden="1" x14ac:dyDescent="0.3">
      <c r="A213" s="1">
        <v>212</v>
      </c>
      <c r="B213" s="1">
        <v>10227</v>
      </c>
      <c r="C213" s="1" t="s">
        <v>413</v>
      </c>
      <c r="D213" s="1" t="s">
        <v>565</v>
      </c>
      <c r="E213" s="1" t="s">
        <v>53</v>
      </c>
      <c r="F213" s="1" t="str">
        <f>_xlfn.XLOOKUP($B213,'August 2025'!B:B,'July 2025'!F:F)</f>
        <v>Manufacturing</v>
      </c>
      <c r="G213" s="11">
        <v>11000</v>
      </c>
      <c r="H213" s="1">
        <v>0</v>
      </c>
      <c r="I213" s="1">
        <v>0</v>
      </c>
      <c r="J213" s="1">
        <v>0</v>
      </c>
      <c r="K213" s="1" t="str">
        <f>_xlfn.XLOOKUP('August 2025'!B213,'August 2025'!B:B,'July 2025'!K:K)</f>
        <v>L-9</v>
      </c>
    </row>
    <row r="214" spans="1:11" hidden="1" x14ac:dyDescent="0.3">
      <c r="A214" s="1">
        <v>213</v>
      </c>
      <c r="B214" s="1">
        <v>140</v>
      </c>
      <c r="C214" s="1" t="s">
        <v>396</v>
      </c>
      <c r="D214" s="1" t="s">
        <v>564</v>
      </c>
      <c r="E214" s="1" t="s">
        <v>67</v>
      </c>
      <c r="F214" s="1" t="str">
        <f>_xlfn.XLOOKUP($B214,'August 2025'!B:B,'July 2025'!F:F)</f>
        <v>Manufacturing</v>
      </c>
      <c r="G214" s="11">
        <v>30000</v>
      </c>
      <c r="H214" s="1">
        <v>11917</v>
      </c>
      <c r="I214" s="1">
        <v>0</v>
      </c>
      <c r="J214" s="1">
        <v>0</v>
      </c>
      <c r="K214" s="1" t="s">
        <v>555</v>
      </c>
    </row>
    <row r="215" spans="1:11" hidden="1" x14ac:dyDescent="0.3">
      <c r="A215" s="1">
        <v>214</v>
      </c>
      <c r="B215" s="1">
        <v>168</v>
      </c>
      <c r="C215" s="1" t="s">
        <v>395</v>
      </c>
      <c r="D215" s="1" t="s">
        <v>564</v>
      </c>
      <c r="E215" s="1" t="s">
        <v>53</v>
      </c>
      <c r="F215" s="1" t="str">
        <f>_xlfn.XLOOKUP($B215,'August 2025'!B:B,'July 2025'!F:F)</f>
        <v>Manufacturing</v>
      </c>
      <c r="G215" s="11">
        <v>11000</v>
      </c>
      <c r="H215" s="1">
        <v>6565</v>
      </c>
      <c r="I215" s="1">
        <v>512</v>
      </c>
      <c r="J215" s="1">
        <v>214</v>
      </c>
      <c r="K215" s="1" t="str">
        <f>_xlfn.XLOOKUP('August 2025'!B215,'August 2025'!B:B,'July 2025'!K:K)</f>
        <v>L-10</v>
      </c>
    </row>
    <row r="216" spans="1:11" hidden="1" x14ac:dyDescent="0.3">
      <c r="A216" s="1">
        <v>215</v>
      </c>
      <c r="B216" s="1">
        <v>10231</v>
      </c>
      <c r="C216" s="1" t="s">
        <v>417</v>
      </c>
      <c r="D216" s="1" t="s">
        <v>565</v>
      </c>
      <c r="E216" s="1" t="s">
        <v>35</v>
      </c>
      <c r="F216" s="1" t="str">
        <f>_xlfn.XLOOKUP($B216,'August 2025'!B:B,'July 2025'!F:F)</f>
        <v>Manufacturing</v>
      </c>
      <c r="G216" s="11">
        <v>13200</v>
      </c>
      <c r="H216" s="1">
        <v>7025</v>
      </c>
      <c r="I216" s="1">
        <v>0</v>
      </c>
      <c r="J216" s="1">
        <v>0</v>
      </c>
      <c r="K216" s="1" t="str">
        <f>_xlfn.XLOOKUP('August 2025'!B216,'August 2025'!B:B,'July 2025'!K:K)</f>
        <v>L-9</v>
      </c>
    </row>
    <row r="217" spans="1:11" hidden="1" x14ac:dyDescent="0.3">
      <c r="A217" s="1">
        <v>216</v>
      </c>
      <c r="B217" s="1">
        <v>10234</v>
      </c>
      <c r="C217" s="1" t="s">
        <v>420</v>
      </c>
      <c r="D217" s="1" t="s">
        <v>565</v>
      </c>
      <c r="E217" s="1" t="s">
        <v>35</v>
      </c>
      <c r="F217" s="1" t="str">
        <f>_xlfn.XLOOKUP($B217,'August 2025'!B:B,'July 2025'!F:F)</f>
        <v>Manufacturing</v>
      </c>
      <c r="G217" s="11">
        <v>12500</v>
      </c>
      <c r="H217" s="1">
        <v>7460</v>
      </c>
      <c r="I217" s="1">
        <v>0</v>
      </c>
      <c r="J217" s="1">
        <v>0</v>
      </c>
      <c r="K217" s="1" t="str">
        <f>_xlfn.XLOOKUP('August 2025'!B217,'August 2025'!B:B,'July 2025'!K:K)</f>
        <v>L-10</v>
      </c>
    </row>
    <row r="218" spans="1:11" hidden="1" x14ac:dyDescent="0.3">
      <c r="A218" s="1">
        <v>217</v>
      </c>
      <c r="B218" s="1">
        <v>10238</v>
      </c>
      <c r="C218" s="1" t="s">
        <v>428</v>
      </c>
      <c r="D218" s="1" t="s">
        <v>565</v>
      </c>
      <c r="E218" s="1" t="s">
        <v>61</v>
      </c>
      <c r="F218" s="1" t="str">
        <f>_xlfn.XLOOKUP($B218,'August 2025'!B:B,'July 2025'!F:F)</f>
        <v>Manufacturing</v>
      </c>
      <c r="G218" s="11">
        <v>12000</v>
      </c>
      <c r="H218" s="1">
        <v>0</v>
      </c>
      <c r="I218" s="1">
        <v>0</v>
      </c>
      <c r="J218" s="1">
        <v>0</v>
      </c>
      <c r="K218" s="1" t="str">
        <f>_xlfn.XLOOKUP('August 2025'!B218,'August 2025'!B:B,'July 2025'!K:K)</f>
        <v>L-9</v>
      </c>
    </row>
    <row r="219" spans="1:11" hidden="1" x14ac:dyDescent="0.3">
      <c r="A219" s="1">
        <v>218</v>
      </c>
      <c r="B219" s="1">
        <v>172</v>
      </c>
      <c r="C219" s="1" t="s">
        <v>419</v>
      </c>
      <c r="D219" s="1" t="s">
        <v>564</v>
      </c>
      <c r="E219" s="1" t="s">
        <v>35</v>
      </c>
      <c r="F219" s="1" t="str">
        <f>_xlfn.XLOOKUP($B219,'August 2025'!B:B,'July 2025'!F:F)</f>
        <v>Manufacturing</v>
      </c>
      <c r="G219" s="11">
        <v>11500</v>
      </c>
      <c r="H219" s="1">
        <v>8903</v>
      </c>
      <c r="I219" s="1">
        <v>694</v>
      </c>
      <c r="J219" s="1">
        <v>290</v>
      </c>
      <c r="K219" s="1" t="str">
        <f>_xlfn.XLOOKUP('August 2025'!B219,'August 2025'!B:B,'July 2025'!K:K)</f>
        <v>L-9</v>
      </c>
    </row>
    <row r="220" spans="1:11" hidden="1" x14ac:dyDescent="0.3">
      <c r="A220" s="1">
        <v>219</v>
      </c>
      <c r="B220" s="1">
        <v>215</v>
      </c>
      <c r="C220" s="1" t="s">
        <v>432</v>
      </c>
      <c r="D220" s="1" t="s">
        <v>564</v>
      </c>
      <c r="E220" s="1" t="s">
        <v>67</v>
      </c>
      <c r="F220" s="1" t="str">
        <f>_xlfn.XLOOKUP($B220,'August 2025'!B:B,'July 2025'!F:F)</f>
        <v>Manufacturing</v>
      </c>
      <c r="G220" s="11">
        <v>30000</v>
      </c>
      <c r="H220" s="1">
        <v>18154</v>
      </c>
      <c r="I220" s="1">
        <v>0</v>
      </c>
      <c r="J220" s="1">
        <v>0</v>
      </c>
      <c r="K220" s="1" t="s">
        <v>555</v>
      </c>
    </row>
    <row r="221" spans="1:11" hidden="1" x14ac:dyDescent="0.3">
      <c r="A221" s="1">
        <v>220</v>
      </c>
      <c r="B221" s="1">
        <v>150</v>
      </c>
      <c r="C221" s="1" t="s">
        <v>433</v>
      </c>
      <c r="D221" s="1" t="s">
        <v>564</v>
      </c>
      <c r="E221" s="1" t="s">
        <v>67</v>
      </c>
      <c r="F221" s="1" t="str">
        <f>_xlfn.XLOOKUP($B221,'August 2025'!B:B,'July 2025'!F:F)</f>
        <v>Manufacturing</v>
      </c>
      <c r="G221" s="11">
        <v>30000</v>
      </c>
      <c r="H221" s="1">
        <v>15858</v>
      </c>
      <c r="I221" s="1">
        <v>0</v>
      </c>
      <c r="J221" s="1">
        <v>0</v>
      </c>
      <c r="K221" s="1" t="s">
        <v>555</v>
      </c>
    </row>
    <row r="222" spans="1:11" hidden="1" x14ac:dyDescent="0.3">
      <c r="A222" s="1">
        <v>221</v>
      </c>
      <c r="B222" s="1">
        <v>199</v>
      </c>
      <c r="C222" s="1" t="s">
        <v>434</v>
      </c>
      <c r="D222" s="1" t="s">
        <v>564</v>
      </c>
      <c r="E222" s="1" t="s">
        <v>67</v>
      </c>
      <c r="F222" s="1" t="str">
        <f>_xlfn.XLOOKUP($B222,'August 2025'!B:B,'July 2025'!F:F)</f>
        <v>Manufacturing</v>
      </c>
      <c r="G222" s="11">
        <v>30000</v>
      </c>
      <c r="H222" s="1">
        <v>8131</v>
      </c>
      <c r="I222" s="1">
        <v>0</v>
      </c>
      <c r="J222" s="1">
        <v>0</v>
      </c>
      <c r="K222" s="1" t="s">
        <v>555</v>
      </c>
    </row>
    <row r="223" spans="1:11" hidden="1" x14ac:dyDescent="0.3">
      <c r="A223" s="1">
        <v>222</v>
      </c>
      <c r="B223" s="1">
        <v>203</v>
      </c>
      <c r="C223" s="1" t="s">
        <v>435</v>
      </c>
      <c r="D223" s="1" t="s">
        <v>564</v>
      </c>
      <c r="E223" s="1" t="s">
        <v>67</v>
      </c>
      <c r="F223" s="1" t="str">
        <f>_xlfn.XLOOKUP($B223,'August 2025'!B:B,'July 2025'!F:F)</f>
        <v>Manufacturing</v>
      </c>
      <c r="G223" s="11">
        <v>30000</v>
      </c>
      <c r="H223" s="1">
        <v>19612</v>
      </c>
      <c r="I223" s="1">
        <v>0</v>
      </c>
      <c r="J223" s="1">
        <v>0</v>
      </c>
      <c r="K223" s="1" t="s">
        <v>555</v>
      </c>
    </row>
    <row r="224" spans="1:11" hidden="1" x14ac:dyDescent="0.3">
      <c r="A224" s="1">
        <v>223</v>
      </c>
      <c r="B224" s="1">
        <v>10240</v>
      </c>
      <c r="C224" s="1" t="s">
        <v>436</v>
      </c>
      <c r="D224" s="1" t="s">
        <v>565</v>
      </c>
      <c r="E224" s="1" t="s">
        <v>53</v>
      </c>
      <c r="F224" s="1" t="str">
        <f>_xlfn.XLOOKUP($B224,'August 2025'!B:B,'July 2025'!F:F)</f>
        <v>Manufacturing</v>
      </c>
      <c r="G224" s="11">
        <v>11000</v>
      </c>
      <c r="H224" s="1">
        <v>0</v>
      </c>
      <c r="I224" s="1">
        <v>0</v>
      </c>
      <c r="J224" s="1">
        <v>0</v>
      </c>
      <c r="K224" s="1" t="str">
        <f>_xlfn.XLOOKUP('August 2025'!B224,'August 2025'!B:B,'July 2025'!K:K)</f>
        <v>L-9</v>
      </c>
    </row>
    <row r="225" spans="1:11" hidden="1" x14ac:dyDescent="0.3">
      <c r="A225" s="1">
        <v>224</v>
      </c>
      <c r="B225" s="1">
        <v>10241</v>
      </c>
      <c r="C225" s="1" t="s">
        <v>437</v>
      </c>
      <c r="D225" s="1" t="s">
        <v>565</v>
      </c>
      <c r="E225" s="1" t="s">
        <v>35</v>
      </c>
      <c r="F225" s="1" t="str">
        <f>_xlfn.XLOOKUP($B225,'August 2025'!B:B,'July 2025'!F:F)</f>
        <v>Manufacturing</v>
      </c>
      <c r="G225" s="11">
        <v>13500</v>
      </c>
      <c r="H225" s="1">
        <v>12629</v>
      </c>
      <c r="I225" s="1">
        <v>0</v>
      </c>
      <c r="J225" s="1">
        <v>0</v>
      </c>
      <c r="K225" s="1" t="str">
        <f>_xlfn.XLOOKUP('August 2025'!B225,'August 2025'!B:B,'July 2025'!K:K)</f>
        <v>L-9</v>
      </c>
    </row>
    <row r="226" spans="1:11" hidden="1" x14ac:dyDescent="0.3">
      <c r="A226" s="1">
        <v>225</v>
      </c>
      <c r="B226" s="1">
        <v>10242</v>
      </c>
      <c r="C226" s="1" t="s">
        <v>385</v>
      </c>
      <c r="D226" s="1" t="s">
        <v>565</v>
      </c>
      <c r="E226" s="1" t="s">
        <v>55</v>
      </c>
      <c r="F226" s="1" t="str">
        <f>_xlfn.XLOOKUP($B226,'August 2025'!B:B,'July 2025'!F:F)</f>
        <v>Manufacturing</v>
      </c>
      <c r="G226" s="11">
        <v>13500</v>
      </c>
      <c r="H226" s="1">
        <v>12629</v>
      </c>
      <c r="I226" s="1">
        <v>0</v>
      </c>
      <c r="J226" s="1">
        <v>0</v>
      </c>
      <c r="K226" s="1" t="str">
        <f>_xlfn.XLOOKUP('August 2025'!B226,'August 2025'!B:B,'July 2025'!K:K)</f>
        <v>L-10</v>
      </c>
    </row>
    <row r="227" spans="1:11" hidden="1" x14ac:dyDescent="0.3">
      <c r="A227" s="1">
        <v>226</v>
      </c>
      <c r="B227" s="1">
        <v>10243</v>
      </c>
      <c r="C227" s="1" t="s">
        <v>438</v>
      </c>
      <c r="D227" s="1" t="s">
        <v>565</v>
      </c>
      <c r="E227" s="1" t="s">
        <v>61</v>
      </c>
      <c r="F227" s="1" t="str">
        <f>_xlfn.XLOOKUP($B227,'August 2025'!B:B,'July 2025'!F:F)</f>
        <v>Manufacturing</v>
      </c>
      <c r="G227" s="11">
        <v>13000</v>
      </c>
      <c r="H227" s="1">
        <v>0</v>
      </c>
      <c r="I227" s="1">
        <v>0</v>
      </c>
      <c r="J227" s="1">
        <v>0</v>
      </c>
      <c r="K227" s="1" t="str">
        <f>_xlfn.XLOOKUP('August 2025'!B227,'August 2025'!B:B,'July 2025'!K:K)</f>
        <v>L-9</v>
      </c>
    </row>
    <row r="228" spans="1:11" hidden="1" x14ac:dyDescent="0.3">
      <c r="A228" s="1">
        <v>227</v>
      </c>
      <c r="B228" s="1">
        <v>10245</v>
      </c>
      <c r="C228" s="1" t="s">
        <v>439</v>
      </c>
      <c r="D228" s="1" t="s">
        <v>565</v>
      </c>
      <c r="E228" s="1" t="s">
        <v>35</v>
      </c>
      <c r="F228" s="1" t="str">
        <f>_xlfn.XLOOKUP($B228,'August 2025'!B:B,'July 2025'!F:F)</f>
        <v>Domestic</v>
      </c>
      <c r="G228" s="11">
        <v>13000</v>
      </c>
      <c r="H228" s="1">
        <v>12580</v>
      </c>
      <c r="I228" s="1">
        <v>0</v>
      </c>
      <c r="J228" s="1">
        <v>0</v>
      </c>
      <c r="K228" s="1" t="s">
        <v>555</v>
      </c>
    </row>
    <row r="229" spans="1:11" hidden="1" x14ac:dyDescent="0.3">
      <c r="A229" s="1">
        <v>228</v>
      </c>
      <c r="B229" s="1">
        <v>10251</v>
      </c>
      <c r="C229" s="1" t="s">
        <v>440</v>
      </c>
      <c r="D229" s="1" t="s">
        <v>565</v>
      </c>
      <c r="E229" s="1" t="s">
        <v>35</v>
      </c>
      <c r="F229" s="1" t="str">
        <f>_xlfn.XLOOKUP($B229,'August 2025'!B:B,'July 2025'!F:F)</f>
        <v>Manufacturing</v>
      </c>
      <c r="G229" s="11">
        <v>12000</v>
      </c>
      <c r="H229" s="1">
        <v>4645</v>
      </c>
      <c r="I229" s="1">
        <v>0</v>
      </c>
      <c r="J229" s="1">
        <v>0</v>
      </c>
      <c r="K229" s="1" t="str">
        <f>_xlfn.XLOOKUP('August 2025'!B229,'August 2025'!B:B,'July 2025'!K:K)</f>
        <v>L-9</v>
      </c>
    </row>
    <row r="230" spans="1:11" hidden="1" x14ac:dyDescent="0.3">
      <c r="A230" s="1">
        <v>229</v>
      </c>
      <c r="B230" s="1">
        <v>149</v>
      </c>
      <c r="C230" s="1" t="s">
        <v>441</v>
      </c>
      <c r="D230" s="1" t="s">
        <v>564</v>
      </c>
      <c r="E230" s="1" t="s">
        <v>67</v>
      </c>
      <c r="F230" s="1" t="str">
        <f>_xlfn.XLOOKUP($B230,'August 2025'!B:B,'July 2025'!F:F)</f>
        <v>Manufacturing</v>
      </c>
      <c r="G230" s="11">
        <v>30000</v>
      </c>
      <c r="H230" s="1">
        <v>15728</v>
      </c>
      <c r="I230" s="1">
        <v>0</v>
      </c>
      <c r="J230" s="1">
        <v>0</v>
      </c>
      <c r="K230" s="1" t="s">
        <v>555</v>
      </c>
    </row>
    <row r="231" spans="1:11" hidden="1" x14ac:dyDescent="0.3">
      <c r="A231" s="1">
        <v>230</v>
      </c>
      <c r="B231" s="1">
        <v>173</v>
      </c>
      <c r="C231" s="1" t="s">
        <v>442</v>
      </c>
      <c r="D231" s="1" t="s">
        <v>564</v>
      </c>
      <c r="E231" s="1" t="s">
        <v>35</v>
      </c>
      <c r="F231" s="1" t="str">
        <f>_xlfn.XLOOKUP($B231,'August 2025'!B:B,'July 2025'!F:F)</f>
        <v>Manufacturing</v>
      </c>
      <c r="G231" s="11">
        <v>12000</v>
      </c>
      <c r="H231" s="1">
        <v>11613</v>
      </c>
      <c r="I231" s="1">
        <v>906</v>
      </c>
      <c r="J231" s="1">
        <v>378</v>
      </c>
      <c r="K231" s="1" t="str">
        <f>_xlfn.XLOOKUP('August 2025'!B231,'August 2025'!B:B,'July 2025'!K:K)</f>
        <v>L-9</v>
      </c>
    </row>
    <row r="232" spans="1:11" hidden="1" x14ac:dyDescent="0.3">
      <c r="A232" s="1">
        <v>231</v>
      </c>
      <c r="B232" s="1">
        <v>197</v>
      </c>
      <c r="C232" s="1" t="s">
        <v>443</v>
      </c>
      <c r="D232" s="1" t="s">
        <v>564</v>
      </c>
      <c r="E232" s="1" t="s">
        <v>67</v>
      </c>
      <c r="F232" s="1" t="str">
        <f>_xlfn.XLOOKUP($B232,'August 2025'!B:B,'July 2025'!F:F)</f>
        <v>Manufacturing</v>
      </c>
      <c r="G232" s="11">
        <v>30000</v>
      </c>
      <c r="H232" s="1">
        <v>14337</v>
      </c>
      <c r="I232" s="1">
        <v>0</v>
      </c>
      <c r="J232" s="1">
        <v>0</v>
      </c>
      <c r="K232" s="1" t="s">
        <v>555</v>
      </c>
    </row>
    <row r="233" spans="1:11" hidden="1" x14ac:dyDescent="0.3">
      <c r="A233" s="1">
        <v>232</v>
      </c>
      <c r="B233" s="1">
        <v>198</v>
      </c>
      <c r="C233" s="1" t="s">
        <v>444</v>
      </c>
      <c r="D233" s="1" t="s">
        <v>564</v>
      </c>
      <c r="E233" s="1" t="s">
        <v>67</v>
      </c>
      <c r="F233" s="1" t="str">
        <f>_xlfn.XLOOKUP($B233,'August 2025'!B:B,'July 2025'!F:F)</f>
        <v>Manufacturing</v>
      </c>
      <c r="G233" s="11">
        <v>30000</v>
      </c>
      <c r="H233" s="1">
        <v>12731</v>
      </c>
      <c r="I233" s="1">
        <v>0</v>
      </c>
      <c r="J233" s="1">
        <v>0</v>
      </c>
      <c r="K233" s="1" t="s">
        <v>555</v>
      </c>
    </row>
    <row r="234" spans="1:11" hidden="1" x14ac:dyDescent="0.3">
      <c r="A234" s="1">
        <v>233</v>
      </c>
      <c r="B234" s="1">
        <v>10246</v>
      </c>
      <c r="C234" s="1" t="s">
        <v>445</v>
      </c>
      <c r="D234" s="1" t="s">
        <v>565</v>
      </c>
      <c r="E234" s="1" t="s">
        <v>55</v>
      </c>
      <c r="F234" s="1" t="str">
        <f>_xlfn.XLOOKUP($B234,'August 2025'!B:B,'July 2025'!F:F)</f>
        <v>Manufacturing</v>
      </c>
      <c r="G234" s="11">
        <v>13500</v>
      </c>
      <c r="H234" s="1">
        <v>12629</v>
      </c>
      <c r="I234" s="1">
        <v>0</v>
      </c>
      <c r="J234" s="1">
        <v>0</v>
      </c>
      <c r="K234" s="1" t="str">
        <f>_xlfn.XLOOKUP('August 2025'!B234,'August 2025'!B:B,'July 2025'!K:K)</f>
        <v>L-9</v>
      </c>
    </row>
    <row r="235" spans="1:11" hidden="1" x14ac:dyDescent="0.3">
      <c r="A235" s="1">
        <v>234</v>
      </c>
      <c r="B235" s="1">
        <v>176</v>
      </c>
      <c r="C235" s="1" t="s">
        <v>279</v>
      </c>
      <c r="D235" s="1" t="s">
        <v>564</v>
      </c>
      <c r="E235" s="1" t="s">
        <v>35</v>
      </c>
      <c r="F235" s="1" t="str">
        <f>_xlfn.XLOOKUP($B235,'August 2025'!B:B,'July 2025'!F:F)</f>
        <v>Manufacturing</v>
      </c>
      <c r="G235" s="11">
        <v>12500</v>
      </c>
      <c r="H235" s="1">
        <v>7863</v>
      </c>
      <c r="I235" s="1">
        <v>613</v>
      </c>
      <c r="J235" s="1">
        <v>256</v>
      </c>
      <c r="K235" s="1" t="str">
        <f>_xlfn.XLOOKUP('August 2025'!B235,'August 2025'!B:B,'July 2025'!K:K)</f>
        <v>L-9</v>
      </c>
    </row>
    <row r="236" spans="1:11" hidden="1" x14ac:dyDescent="0.3">
      <c r="A236" s="1">
        <v>235</v>
      </c>
      <c r="B236" s="1">
        <v>177</v>
      </c>
      <c r="C236" s="1" t="s">
        <v>446</v>
      </c>
      <c r="D236" s="1" t="s">
        <v>564</v>
      </c>
      <c r="E236" s="1" t="s">
        <v>35</v>
      </c>
      <c r="F236" s="1" t="str">
        <f>_xlfn.XLOOKUP($B236,'August 2025'!B:B,'July 2025'!F:F)</f>
        <v>Domestic</v>
      </c>
      <c r="G236" s="11">
        <v>12500</v>
      </c>
      <c r="H236" s="1">
        <v>1815</v>
      </c>
      <c r="I236" s="1">
        <v>142</v>
      </c>
      <c r="J236" s="1">
        <v>59</v>
      </c>
      <c r="K236" s="1" t="str">
        <f>_xlfn.XLOOKUP('August 2025'!B236,'August 2025'!B:B,'July 2025'!K:K)</f>
        <v>L-7</v>
      </c>
    </row>
    <row r="237" spans="1:11" hidden="1" x14ac:dyDescent="0.3">
      <c r="A237" s="1">
        <v>236</v>
      </c>
      <c r="B237" s="1">
        <v>146</v>
      </c>
      <c r="C237" s="1" t="s">
        <v>447</v>
      </c>
      <c r="D237" s="1" t="s">
        <v>564</v>
      </c>
      <c r="E237" s="1" t="s">
        <v>42</v>
      </c>
      <c r="F237" s="1" t="s">
        <v>499</v>
      </c>
      <c r="G237" s="11">
        <v>35000</v>
      </c>
      <c r="H237" s="1">
        <v>33871</v>
      </c>
      <c r="I237" s="1">
        <v>0</v>
      </c>
      <c r="J237" s="1">
        <v>0</v>
      </c>
      <c r="K237" s="1" t="s">
        <v>552</v>
      </c>
    </row>
    <row r="238" spans="1:11" hidden="1" x14ac:dyDescent="0.3">
      <c r="A238" s="1">
        <v>237</v>
      </c>
      <c r="B238" s="1">
        <v>147</v>
      </c>
      <c r="C238" s="1" t="s">
        <v>448</v>
      </c>
      <c r="D238" s="1" t="s">
        <v>564</v>
      </c>
      <c r="E238" s="1" t="s">
        <v>449</v>
      </c>
      <c r="F238" s="1" t="s">
        <v>499</v>
      </c>
      <c r="G238" s="11">
        <v>25020</v>
      </c>
      <c r="H238" s="1">
        <v>25020</v>
      </c>
      <c r="I238" s="1">
        <v>0</v>
      </c>
      <c r="J238" s="1">
        <v>0</v>
      </c>
      <c r="K238" s="1" t="s">
        <v>553</v>
      </c>
    </row>
    <row r="239" spans="1:11" hidden="1" x14ac:dyDescent="0.3">
      <c r="A239" s="1">
        <v>238</v>
      </c>
      <c r="B239" s="1">
        <v>178</v>
      </c>
      <c r="C239" s="1" t="s">
        <v>450</v>
      </c>
      <c r="D239" s="1" t="s">
        <v>564</v>
      </c>
      <c r="E239" s="1" t="s">
        <v>35</v>
      </c>
      <c r="F239" s="1" t="s">
        <v>501</v>
      </c>
      <c r="G239" s="11">
        <v>11500</v>
      </c>
      <c r="H239" s="1">
        <v>0</v>
      </c>
      <c r="I239" s="1">
        <v>0</v>
      </c>
      <c r="J239" s="1">
        <v>0</v>
      </c>
      <c r="K239" s="1" t="s">
        <v>555</v>
      </c>
    </row>
    <row r="240" spans="1:11" hidden="1" x14ac:dyDescent="0.3">
      <c r="A240" s="1">
        <v>239</v>
      </c>
      <c r="B240" s="1">
        <v>10247</v>
      </c>
      <c r="C240" s="1" t="s">
        <v>451</v>
      </c>
      <c r="D240" s="1" t="s">
        <v>565</v>
      </c>
      <c r="E240" s="1" t="s">
        <v>35</v>
      </c>
      <c r="F240" s="1" t="s">
        <v>501</v>
      </c>
      <c r="G240" s="11">
        <v>12000</v>
      </c>
      <c r="H240" s="1">
        <v>9677</v>
      </c>
      <c r="I240" s="1">
        <v>0</v>
      </c>
      <c r="J240" s="1">
        <v>0</v>
      </c>
      <c r="K240" s="1" t="s">
        <v>555</v>
      </c>
    </row>
    <row r="241" spans="1:11" hidden="1" x14ac:dyDescent="0.3">
      <c r="A241" s="1">
        <v>240</v>
      </c>
      <c r="B241" s="1">
        <v>180</v>
      </c>
      <c r="C241" s="1" t="s">
        <v>452</v>
      </c>
      <c r="D241" s="1" t="s">
        <v>564</v>
      </c>
      <c r="E241" s="1" t="s">
        <v>35</v>
      </c>
      <c r="F241" s="1" t="str">
        <f>_xlfn.XLOOKUP($B241,'August 2025'!B:B,'July 2025'!F:F)</f>
        <v>Manufacturing</v>
      </c>
      <c r="G241" s="11">
        <v>11500</v>
      </c>
      <c r="H241" s="1">
        <v>8162</v>
      </c>
      <c r="I241" s="1">
        <v>637</v>
      </c>
      <c r="J241" s="1">
        <v>266</v>
      </c>
      <c r="K241" s="1" t="str">
        <f>_xlfn.XLOOKUP('August 2025'!B241,'August 2025'!B:B,'July 2025'!K:K)</f>
        <v>L-9</v>
      </c>
    </row>
    <row r="242" spans="1:11" hidden="1" x14ac:dyDescent="0.3">
      <c r="A242" s="1">
        <v>241</v>
      </c>
      <c r="B242" s="1">
        <v>10239</v>
      </c>
      <c r="C242" s="1" t="s">
        <v>453</v>
      </c>
      <c r="D242" s="1" t="s">
        <v>565</v>
      </c>
      <c r="E242" s="1" t="s">
        <v>35</v>
      </c>
      <c r="F242" s="1" t="str">
        <f>_xlfn.XLOOKUP($B242,'August 2025'!B:B,'July 2025'!F:F)</f>
        <v>Manufacturing</v>
      </c>
      <c r="G242" s="11">
        <v>11500</v>
      </c>
      <c r="H242" s="1">
        <v>0</v>
      </c>
      <c r="I242" s="1">
        <v>0</v>
      </c>
      <c r="J242" s="1">
        <v>0</v>
      </c>
      <c r="K242" s="1" t="str">
        <f>_xlfn.XLOOKUP('August 2025'!B242,'August 2025'!B:B,'July 2025'!K:K)</f>
        <v>L-9</v>
      </c>
    </row>
    <row r="243" spans="1:11" hidden="1" x14ac:dyDescent="0.3">
      <c r="A243" s="1">
        <v>242</v>
      </c>
      <c r="B243" s="1">
        <v>181</v>
      </c>
      <c r="C243" s="1" t="s">
        <v>454</v>
      </c>
      <c r="D243" s="1" t="s">
        <v>564</v>
      </c>
      <c r="E243" s="1" t="s">
        <v>35</v>
      </c>
      <c r="F243" s="1" t="str">
        <f>_xlfn.XLOOKUP($B243,'August 2025'!B:B,'July 2025'!F:F)</f>
        <v>Manufacturing</v>
      </c>
      <c r="G243" s="11">
        <v>12500</v>
      </c>
      <c r="H243" s="1">
        <v>0</v>
      </c>
      <c r="I243" s="1">
        <v>0</v>
      </c>
      <c r="J243" s="1">
        <v>0</v>
      </c>
      <c r="K243" s="1" t="s">
        <v>557</v>
      </c>
    </row>
    <row r="244" spans="1:11" hidden="1" x14ac:dyDescent="0.3">
      <c r="A244" s="1">
        <v>243</v>
      </c>
      <c r="B244" s="1">
        <v>183</v>
      </c>
      <c r="C244" s="1" t="s">
        <v>263</v>
      </c>
      <c r="D244" s="1" t="s">
        <v>564</v>
      </c>
      <c r="E244" s="1" t="s">
        <v>53</v>
      </c>
      <c r="F244" s="1" t="str">
        <f>_xlfn.XLOOKUP($B244,'August 2025'!B:B,'July 2025'!F:F)</f>
        <v>Manufacturing</v>
      </c>
      <c r="G244" s="11">
        <v>11500</v>
      </c>
      <c r="H244" s="1">
        <v>0</v>
      </c>
      <c r="I244" s="1">
        <v>0</v>
      </c>
      <c r="J244" s="1">
        <v>0</v>
      </c>
      <c r="K244" s="1" t="str">
        <f>_xlfn.XLOOKUP('August 2025'!B244,'August 2025'!B:B,'July 2025'!K:K)</f>
        <v>L-9</v>
      </c>
    </row>
    <row r="245" spans="1:11" hidden="1" x14ac:dyDescent="0.3">
      <c r="A245" s="1">
        <v>244</v>
      </c>
      <c r="B245" s="1">
        <v>212</v>
      </c>
      <c r="C245" s="1" t="s">
        <v>455</v>
      </c>
      <c r="D245" s="1" t="s">
        <v>564</v>
      </c>
      <c r="E245" s="1" t="s">
        <v>67</v>
      </c>
      <c r="F245" s="1" t="str">
        <f>_xlfn.XLOOKUP($B245,'August 2025'!B:B,'July 2025'!F:F)</f>
        <v>Manufacturing</v>
      </c>
      <c r="G245" s="11">
        <v>30000</v>
      </c>
      <c r="H245" s="1">
        <v>0</v>
      </c>
      <c r="I245" s="1">
        <v>0</v>
      </c>
      <c r="J245" s="1">
        <v>0</v>
      </c>
      <c r="K245" s="1" t="s">
        <v>555</v>
      </c>
    </row>
    <row r="246" spans="1:11" hidden="1" x14ac:dyDescent="0.3">
      <c r="A246" s="1">
        <v>245</v>
      </c>
      <c r="B246" s="1">
        <v>10244</v>
      </c>
      <c r="C246" s="1" t="s">
        <v>456</v>
      </c>
      <c r="D246" s="1" t="s">
        <v>565</v>
      </c>
      <c r="E246" s="1" t="s">
        <v>61</v>
      </c>
      <c r="F246" s="1" t="str">
        <f>_xlfn.XLOOKUP($B246,'August 2025'!B:B,'July 2025'!F:F)</f>
        <v>Manufacturing</v>
      </c>
      <c r="G246" s="11">
        <v>13000</v>
      </c>
      <c r="H246" s="1">
        <v>10065</v>
      </c>
      <c r="I246" s="1">
        <v>0</v>
      </c>
      <c r="J246" s="1">
        <v>0</v>
      </c>
      <c r="K246" s="1" t="str">
        <f>_xlfn.XLOOKUP('August 2025'!B246,'August 2025'!B:B,'July 2025'!K:K)</f>
        <v>L-10</v>
      </c>
    </row>
    <row r="247" spans="1:11" hidden="1" x14ac:dyDescent="0.3">
      <c r="A247" s="1">
        <v>246</v>
      </c>
      <c r="B247" s="1">
        <v>10248</v>
      </c>
      <c r="C247" s="1" t="s">
        <v>454</v>
      </c>
      <c r="D247" s="1" t="s">
        <v>565</v>
      </c>
      <c r="E247" s="1" t="s">
        <v>53</v>
      </c>
      <c r="F247" s="1" t="str">
        <f>_xlfn.XLOOKUP($B247,'August 2025'!B:B,'July 2025'!F:F)</f>
        <v>Manufacturing</v>
      </c>
      <c r="G247" s="11">
        <v>11000</v>
      </c>
      <c r="H247" s="1">
        <v>0</v>
      </c>
      <c r="I247" s="1">
        <v>0</v>
      </c>
      <c r="J247" s="1">
        <v>0</v>
      </c>
      <c r="K247" s="1" t="str">
        <f>_xlfn.XLOOKUP('August 2025'!B247,'August 2025'!B:B,'July 2025'!K:K)</f>
        <v>L-9</v>
      </c>
    </row>
    <row r="248" spans="1:11" hidden="1" x14ac:dyDescent="0.3">
      <c r="A248" s="1">
        <v>247</v>
      </c>
      <c r="B248" s="1">
        <v>182</v>
      </c>
      <c r="C248" s="1" t="s">
        <v>571</v>
      </c>
      <c r="D248" s="1" t="s">
        <v>564</v>
      </c>
      <c r="E248" s="1" t="s">
        <v>82</v>
      </c>
      <c r="F248" s="1" t="str">
        <f>_xlfn.XLOOKUP($B248,'August 2025'!B:B,'July 2025'!F:F)</f>
        <v>Manufacturing</v>
      </c>
      <c r="G248" s="11">
        <v>22000</v>
      </c>
      <c r="H248" s="1">
        <v>15967</v>
      </c>
      <c r="I248" s="1">
        <v>1453</v>
      </c>
      <c r="J248" s="1">
        <v>0</v>
      </c>
      <c r="K248" s="1" t="s">
        <v>554</v>
      </c>
    </row>
    <row r="249" spans="1:11" hidden="1" x14ac:dyDescent="0.3">
      <c r="A249" s="1">
        <v>248</v>
      </c>
      <c r="B249" s="1">
        <v>148</v>
      </c>
      <c r="C249" s="1" t="s">
        <v>457</v>
      </c>
      <c r="D249" s="1" t="s">
        <v>564</v>
      </c>
      <c r="E249" s="1" t="s">
        <v>458</v>
      </c>
      <c r="F249" s="1" t="s">
        <v>504</v>
      </c>
      <c r="G249" s="11">
        <v>25000</v>
      </c>
      <c r="H249" s="1">
        <v>25000</v>
      </c>
      <c r="I249" s="1">
        <v>1950</v>
      </c>
      <c r="J249" s="1">
        <v>0</v>
      </c>
      <c r="K249" s="1" t="s">
        <v>553</v>
      </c>
    </row>
    <row r="250" spans="1:11" hidden="1" x14ac:dyDescent="0.3">
      <c r="A250" s="1">
        <v>249</v>
      </c>
      <c r="B250" s="1">
        <v>184</v>
      </c>
      <c r="C250" s="1" t="s">
        <v>459</v>
      </c>
      <c r="D250" s="1" t="s">
        <v>564</v>
      </c>
      <c r="E250" s="1" t="s">
        <v>67</v>
      </c>
      <c r="F250" s="1" t="str">
        <f>_xlfn.XLOOKUP($B250,'August 2025'!B:B,'July 2025'!F:F)</f>
        <v>Manufacturing</v>
      </c>
      <c r="G250" s="11">
        <v>30000</v>
      </c>
      <c r="H250" s="1">
        <v>14217</v>
      </c>
      <c r="I250" s="1">
        <v>0</v>
      </c>
      <c r="J250" s="1">
        <v>0</v>
      </c>
      <c r="K250" s="1" t="s">
        <v>555</v>
      </c>
    </row>
    <row r="251" spans="1:11" hidden="1" x14ac:dyDescent="0.3">
      <c r="A251" s="1">
        <v>250</v>
      </c>
      <c r="B251" s="1">
        <v>10249</v>
      </c>
      <c r="C251" s="1" t="s">
        <v>460</v>
      </c>
      <c r="D251" s="1" t="s">
        <v>565</v>
      </c>
      <c r="E251" s="1" t="s">
        <v>35</v>
      </c>
      <c r="F251" s="1" t="s">
        <v>504</v>
      </c>
      <c r="G251" s="11">
        <v>13000</v>
      </c>
      <c r="H251" s="1">
        <v>0</v>
      </c>
      <c r="I251" s="1">
        <v>0</v>
      </c>
      <c r="J251" s="1">
        <v>0</v>
      </c>
      <c r="K251" s="1" t="s">
        <v>555</v>
      </c>
    </row>
    <row r="252" spans="1:11" hidden="1" x14ac:dyDescent="0.3">
      <c r="A252" s="1">
        <v>251</v>
      </c>
      <c r="B252" s="1">
        <v>191</v>
      </c>
      <c r="C252" s="1" t="s">
        <v>461</v>
      </c>
      <c r="D252" s="1" t="s">
        <v>564</v>
      </c>
      <c r="E252" s="1" t="s">
        <v>67</v>
      </c>
      <c r="F252" s="1" t="str">
        <f>_xlfn.XLOOKUP($B252,'August 2025'!B:B,'July 2025'!F:F)</f>
        <v>Manufacturing</v>
      </c>
      <c r="G252" s="11">
        <v>30000</v>
      </c>
      <c r="H252" s="1">
        <v>0</v>
      </c>
      <c r="I252" s="1">
        <v>0</v>
      </c>
      <c r="J252" s="1">
        <v>0</v>
      </c>
      <c r="K252" s="1" t="s">
        <v>555</v>
      </c>
    </row>
    <row r="253" spans="1:11" hidden="1" x14ac:dyDescent="0.3">
      <c r="A253" s="1">
        <v>252</v>
      </c>
      <c r="B253" s="1">
        <v>10232</v>
      </c>
      <c r="C253" s="1" t="s">
        <v>418</v>
      </c>
      <c r="D253" s="1" t="s">
        <v>565</v>
      </c>
      <c r="E253" s="1" t="s">
        <v>35</v>
      </c>
      <c r="F253" s="1" t="str">
        <f>_xlfn.XLOOKUP($B253,'August 2025'!B:B,'July 2025'!F:F)</f>
        <v>Manufacturing</v>
      </c>
      <c r="G253" s="11">
        <v>13500</v>
      </c>
      <c r="H253" s="1">
        <v>0</v>
      </c>
      <c r="I253" s="1">
        <v>0</v>
      </c>
      <c r="J253" s="1">
        <v>0</v>
      </c>
      <c r="K253" s="1" t="str">
        <f>_xlfn.XLOOKUP('August 2025'!B253,'August 2025'!B:B,'July 2025'!K:K)</f>
        <v>L-10</v>
      </c>
    </row>
    <row r="254" spans="1:11" hidden="1" x14ac:dyDescent="0.3">
      <c r="A254" s="1">
        <v>253</v>
      </c>
      <c r="B254" s="1">
        <v>186</v>
      </c>
      <c r="C254" s="1" t="s">
        <v>462</v>
      </c>
      <c r="D254" s="1" t="s">
        <v>564</v>
      </c>
      <c r="E254" s="1" t="s">
        <v>67</v>
      </c>
      <c r="F254" s="1" t="str">
        <f>_xlfn.XLOOKUP($B254,'August 2025'!B:B,'July 2025'!F:F)</f>
        <v>Manufacturing</v>
      </c>
      <c r="G254" s="11">
        <v>30000</v>
      </c>
      <c r="H254" s="1">
        <v>0</v>
      </c>
      <c r="I254" s="1">
        <v>0</v>
      </c>
      <c r="J254" s="1">
        <v>0</v>
      </c>
      <c r="K254" s="1" t="s">
        <v>555</v>
      </c>
    </row>
    <row r="255" spans="1:11" hidden="1" x14ac:dyDescent="0.3">
      <c r="A255" s="1">
        <v>254</v>
      </c>
      <c r="B255" s="1">
        <v>185</v>
      </c>
      <c r="C255" s="1" t="s">
        <v>463</v>
      </c>
      <c r="D255" s="1" t="s">
        <v>564</v>
      </c>
      <c r="E255" s="1" t="s">
        <v>67</v>
      </c>
      <c r="F255" s="1" t="str">
        <f>_xlfn.XLOOKUP($B255,'August 2025'!B:B,'July 2025'!F:F)</f>
        <v>Manufacturing</v>
      </c>
      <c r="G255" s="11">
        <v>30000</v>
      </c>
      <c r="H255" s="1">
        <v>6503</v>
      </c>
      <c r="I255" s="1">
        <v>0</v>
      </c>
      <c r="J255" s="1">
        <v>0</v>
      </c>
      <c r="K255" s="1" t="s">
        <v>555</v>
      </c>
    </row>
    <row r="256" spans="1:11" hidden="1" x14ac:dyDescent="0.3">
      <c r="A256" s="1">
        <v>255</v>
      </c>
      <c r="B256" s="1">
        <v>187</v>
      </c>
      <c r="C256" s="1" t="s">
        <v>409</v>
      </c>
      <c r="D256" s="1" t="s">
        <v>564</v>
      </c>
      <c r="E256" s="1" t="s">
        <v>53</v>
      </c>
      <c r="F256" s="1" t="str">
        <f>_xlfn.XLOOKUP($B256,'August 2025'!B:B,'July 2025'!F:F)</f>
        <v>Manufacturing</v>
      </c>
      <c r="G256" s="11">
        <v>11500</v>
      </c>
      <c r="H256" s="1">
        <v>7790</v>
      </c>
      <c r="I256" s="1">
        <v>608</v>
      </c>
      <c r="J256" s="1">
        <v>254</v>
      </c>
      <c r="K256" s="1" t="s">
        <v>557</v>
      </c>
    </row>
    <row r="257" spans="1:11" hidden="1" x14ac:dyDescent="0.3">
      <c r="A257" s="1">
        <v>256</v>
      </c>
      <c r="B257" s="1">
        <v>189</v>
      </c>
      <c r="C257" s="1" t="s">
        <v>464</v>
      </c>
      <c r="D257" s="1" t="s">
        <v>564</v>
      </c>
      <c r="E257" s="1" t="s">
        <v>67</v>
      </c>
      <c r="F257" s="1" t="str">
        <f>_xlfn.XLOOKUP($B257,'August 2025'!B:B,'July 2025'!F:F)</f>
        <v>Manufacturing</v>
      </c>
      <c r="G257" s="11">
        <v>30000</v>
      </c>
      <c r="H257" s="1">
        <v>14759</v>
      </c>
      <c r="I257" s="1">
        <v>0</v>
      </c>
      <c r="J257" s="1">
        <v>0</v>
      </c>
      <c r="K257" s="1" t="s">
        <v>555</v>
      </c>
    </row>
    <row r="258" spans="1:11" hidden="1" x14ac:dyDescent="0.3">
      <c r="A258" s="1">
        <v>257</v>
      </c>
      <c r="B258" s="1">
        <v>188</v>
      </c>
      <c r="C258" s="1" t="s">
        <v>465</v>
      </c>
      <c r="D258" s="1" t="s">
        <v>564</v>
      </c>
      <c r="E258" s="1" t="s">
        <v>33</v>
      </c>
      <c r="F258" s="1" t="str">
        <f>_xlfn.XLOOKUP($B258,'August 2025'!B:B,'July 2025'!F:F)</f>
        <v>Manufacturing</v>
      </c>
      <c r="G258" s="11">
        <v>16000</v>
      </c>
      <c r="H258" s="1">
        <v>12129</v>
      </c>
      <c r="I258" s="1">
        <v>946</v>
      </c>
      <c r="J258" s="1">
        <v>395</v>
      </c>
      <c r="K258" s="1" t="s">
        <v>556</v>
      </c>
    </row>
    <row r="259" spans="1:11" hidden="1" x14ac:dyDescent="0.3">
      <c r="A259" s="1">
        <v>258</v>
      </c>
      <c r="B259" s="1">
        <v>10250</v>
      </c>
      <c r="C259" s="1" t="s">
        <v>466</v>
      </c>
      <c r="D259" s="1" t="s">
        <v>565</v>
      </c>
      <c r="E259" s="1" t="s">
        <v>35</v>
      </c>
      <c r="F259" s="1" t="str">
        <f>_xlfn.XLOOKUP($B259,'August 2025'!B:B,'July 2025'!F:F)</f>
        <v>Manufacturing</v>
      </c>
      <c r="G259" s="11">
        <v>13000</v>
      </c>
      <c r="H259" s="1">
        <v>10065</v>
      </c>
      <c r="I259" s="1">
        <v>0</v>
      </c>
      <c r="J259" s="1">
        <v>0</v>
      </c>
      <c r="K259" s="1" t="str">
        <f>_xlfn.XLOOKUP('August 2025'!B259,'August 2025'!B:B,'July 2025'!K:K)</f>
        <v>L-9</v>
      </c>
    </row>
    <row r="260" spans="1:11" hidden="1" x14ac:dyDescent="0.3">
      <c r="A260" s="1">
        <v>259</v>
      </c>
      <c r="B260" s="1">
        <v>10255</v>
      </c>
      <c r="C260" s="1" t="s">
        <v>467</v>
      </c>
      <c r="D260" s="1" t="s">
        <v>565</v>
      </c>
      <c r="E260" s="1" t="s">
        <v>53</v>
      </c>
      <c r="F260" s="1" t="str">
        <f>_xlfn.XLOOKUP($B260,'August 2025'!B:B,'July 2025'!F:F)</f>
        <v>Manufacturing</v>
      </c>
      <c r="G260" s="11">
        <v>11000</v>
      </c>
      <c r="H260" s="1">
        <v>0</v>
      </c>
      <c r="I260" s="1">
        <v>0</v>
      </c>
      <c r="J260" s="1">
        <v>0</v>
      </c>
      <c r="K260" s="1" t="str">
        <f>_xlfn.XLOOKUP('August 2025'!B260,'August 2025'!B:B,'July 2025'!K:K)</f>
        <v>L-9</v>
      </c>
    </row>
    <row r="261" spans="1:11" hidden="1" x14ac:dyDescent="0.3">
      <c r="A261" s="1">
        <v>260</v>
      </c>
      <c r="B261" s="1">
        <v>10252</v>
      </c>
      <c r="C261" s="1" t="s">
        <v>468</v>
      </c>
      <c r="D261" s="1" t="s">
        <v>565</v>
      </c>
      <c r="E261" s="1" t="s">
        <v>53</v>
      </c>
      <c r="F261" s="1" t="str">
        <f>_xlfn.XLOOKUP($B261,'August 2025'!B:B,'July 2025'!F:F)</f>
        <v>Manufacturing</v>
      </c>
      <c r="G261" s="11">
        <v>12000</v>
      </c>
      <c r="H261" s="1">
        <v>3871</v>
      </c>
      <c r="I261" s="1">
        <v>0</v>
      </c>
      <c r="J261" s="1">
        <v>0</v>
      </c>
      <c r="K261" s="1" t="str">
        <f>_xlfn.XLOOKUP('August 2025'!B261,'August 2025'!B:B,'July 2025'!K:K)</f>
        <v>L-9</v>
      </c>
    </row>
    <row r="262" spans="1:11" hidden="1" x14ac:dyDescent="0.3">
      <c r="A262" s="1">
        <v>261</v>
      </c>
      <c r="B262" s="1">
        <v>211</v>
      </c>
      <c r="C262" s="1" t="s">
        <v>469</v>
      </c>
      <c r="D262" s="1" t="s">
        <v>564</v>
      </c>
      <c r="E262" s="1" t="s">
        <v>67</v>
      </c>
      <c r="F262" s="1" t="str">
        <f>_xlfn.XLOOKUP($B262,'August 2025'!B:B,'July 2025'!F:F)</f>
        <v>Manufacturing</v>
      </c>
      <c r="G262" s="11">
        <v>30000</v>
      </c>
      <c r="H262" s="1">
        <v>0</v>
      </c>
      <c r="I262" s="1">
        <v>0</v>
      </c>
      <c r="J262" s="1">
        <v>0</v>
      </c>
      <c r="K262" s="1" t="s">
        <v>555</v>
      </c>
    </row>
    <row r="263" spans="1:11" hidden="1" x14ac:dyDescent="0.3">
      <c r="A263" s="1">
        <v>262</v>
      </c>
      <c r="B263" s="1">
        <v>204</v>
      </c>
      <c r="C263" s="1" t="s">
        <v>470</v>
      </c>
      <c r="D263" s="1" t="s">
        <v>564</v>
      </c>
      <c r="E263" s="1" t="s">
        <v>67</v>
      </c>
      <c r="F263" s="1" t="str">
        <f>_xlfn.XLOOKUP($B263,'August 2025'!B:B,'July 2025'!F:F)</f>
        <v>Manufacturing</v>
      </c>
      <c r="G263" s="11">
        <v>30000</v>
      </c>
      <c r="H263" s="1">
        <v>26095</v>
      </c>
      <c r="I263" s="1">
        <v>0</v>
      </c>
      <c r="J263" s="1">
        <v>0</v>
      </c>
      <c r="K263" s="1" t="s">
        <v>555</v>
      </c>
    </row>
    <row r="264" spans="1:11" hidden="1" x14ac:dyDescent="0.3">
      <c r="A264" s="1">
        <v>263</v>
      </c>
      <c r="B264" s="1">
        <v>205</v>
      </c>
      <c r="C264" s="1" t="s">
        <v>471</v>
      </c>
      <c r="D264" s="1" t="s">
        <v>564</v>
      </c>
      <c r="E264" s="1" t="s">
        <v>67</v>
      </c>
      <c r="F264" s="1" t="str">
        <f>_xlfn.XLOOKUP($B264,'August 2025'!B:B,'July 2025'!F:F)</f>
        <v>Manufacturing</v>
      </c>
      <c r="G264" s="11">
        <v>30000</v>
      </c>
      <c r="H264" s="1">
        <v>8327</v>
      </c>
      <c r="I264" s="1">
        <v>0</v>
      </c>
      <c r="J264" s="1">
        <v>0</v>
      </c>
      <c r="K264" s="1" t="s">
        <v>555</v>
      </c>
    </row>
    <row r="265" spans="1:11" hidden="1" x14ac:dyDescent="0.3">
      <c r="A265" s="1">
        <v>264</v>
      </c>
      <c r="B265" s="1">
        <v>206</v>
      </c>
      <c r="C265" s="1" t="s">
        <v>472</v>
      </c>
      <c r="D265" s="1" t="s">
        <v>564</v>
      </c>
      <c r="E265" s="1" t="s">
        <v>67</v>
      </c>
      <c r="F265" s="1" t="str">
        <f>_xlfn.XLOOKUP($B265,'August 2025'!B:B,'July 2025'!F:F)</f>
        <v>Manufacturing</v>
      </c>
      <c r="G265" s="11">
        <v>30000</v>
      </c>
      <c r="H265" s="1">
        <v>0</v>
      </c>
      <c r="I265" s="1">
        <v>0</v>
      </c>
      <c r="J265" s="1">
        <v>0</v>
      </c>
      <c r="K265" s="1" t="s">
        <v>555</v>
      </c>
    </row>
    <row r="266" spans="1:11" hidden="1" x14ac:dyDescent="0.3">
      <c r="A266" s="1">
        <v>265</v>
      </c>
      <c r="B266" s="1">
        <v>207</v>
      </c>
      <c r="C266" s="1" t="s">
        <v>473</v>
      </c>
      <c r="D266" s="1" t="s">
        <v>564</v>
      </c>
      <c r="E266" s="1" t="s">
        <v>67</v>
      </c>
      <c r="F266" s="1" t="str">
        <f>_xlfn.XLOOKUP($B266,'August 2025'!B:B,'July 2025'!F:F)</f>
        <v>Manufacturing</v>
      </c>
      <c r="G266" s="11">
        <v>30000</v>
      </c>
      <c r="H266" s="1">
        <v>0</v>
      </c>
      <c r="I266" s="1">
        <v>0</v>
      </c>
      <c r="J266" s="1">
        <v>0</v>
      </c>
      <c r="K266" s="1" t="s">
        <v>555</v>
      </c>
    </row>
    <row r="267" spans="1:11" hidden="1" x14ac:dyDescent="0.3">
      <c r="A267" s="1">
        <v>266</v>
      </c>
      <c r="B267" s="1">
        <v>213</v>
      </c>
      <c r="C267" s="1" t="s">
        <v>474</v>
      </c>
      <c r="D267" s="1" t="s">
        <v>564</v>
      </c>
      <c r="E267" s="1" t="s">
        <v>67</v>
      </c>
      <c r="F267" s="1" t="str">
        <f>_xlfn.XLOOKUP($B267,'August 2025'!B:B,'July 2025'!F:F)</f>
        <v>Manufacturing</v>
      </c>
      <c r="G267" s="11">
        <v>30000</v>
      </c>
      <c r="H267" s="1">
        <v>0</v>
      </c>
      <c r="I267" s="1">
        <v>0</v>
      </c>
      <c r="J267" s="1">
        <v>0</v>
      </c>
      <c r="K267" s="1" t="s">
        <v>555</v>
      </c>
    </row>
    <row r="268" spans="1:11" hidden="1" x14ac:dyDescent="0.3">
      <c r="A268" s="1">
        <v>267</v>
      </c>
      <c r="B268" s="1">
        <v>10256</v>
      </c>
      <c r="C268" s="1" t="s">
        <v>572</v>
      </c>
      <c r="D268" s="1" t="s">
        <v>565</v>
      </c>
      <c r="E268" s="1" t="s">
        <v>53</v>
      </c>
      <c r="F268" s="1" t="str">
        <f>_xlfn.XLOOKUP($B268,'August 2025'!B:B,'July 2025'!F:F)</f>
        <v>Manufacturing</v>
      </c>
      <c r="G268" s="11">
        <v>11500</v>
      </c>
      <c r="H268" s="1">
        <v>10758</v>
      </c>
      <c r="I268" s="1">
        <v>0</v>
      </c>
      <c r="J268" s="1">
        <v>0</v>
      </c>
      <c r="K268" s="1" t="str">
        <f>_xlfn.XLOOKUP('August 2025'!B268,'August 2025'!B:B,'July 2025'!K:K)</f>
        <v>L-9</v>
      </c>
    </row>
    <row r="269" spans="1:11" hidden="1" x14ac:dyDescent="0.3">
      <c r="A269" s="1">
        <v>268</v>
      </c>
      <c r="B269" s="1">
        <v>10257</v>
      </c>
      <c r="C269" s="1" t="s">
        <v>573</v>
      </c>
      <c r="D269" s="1" t="s">
        <v>565</v>
      </c>
      <c r="E269" s="1" t="s">
        <v>53</v>
      </c>
      <c r="F269" s="1" t="str">
        <f>_xlfn.XLOOKUP($B269,'August 2025'!B:B,'July 2025'!F:F)</f>
        <v>Manufacturing</v>
      </c>
      <c r="G269" s="11">
        <v>11500</v>
      </c>
      <c r="H269" s="1">
        <v>10573</v>
      </c>
      <c r="I269" s="1">
        <v>0</v>
      </c>
      <c r="J269" s="1">
        <v>0</v>
      </c>
      <c r="K269" s="1" t="str">
        <f>_xlfn.XLOOKUP('August 2025'!B269,'August 2025'!B:B,'July 2025'!K:K)</f>
        <v>L-9</v>
      </c>
    </row>
    <row r="270" spans="1:11" hidden="1" x14ac:dyDescent="0.3">
      <c r="A270" s="1">
        <v>269</v>
      </c>
      <c r="B270" s="1">
        <v>10258</v>
      </c>
      <c r="C270" s="1" t="s">
        <v>574</v>
      </c>
      <c r="D270" s="1" t="s">
        <v>565</v>
      </c>
      <c r="E270" s="1" t="s">
        <v>53</v>
      </c>
      <c r="F270" s="1" t="str">
        <f>_xlfn.XLOOKUP($B270,'August 2025'!B:B,'July 2025'!F:F)</f>
        <v>Manufacturing</v>
      </c>
      <c r="G270" s="11">
        <v>11500</v>
      </c>
      <c r="H270" s="1">
        <v>6492</v>
      </c>
      <c r="I270" s="1">
        <v>0</v>
      </c>
      <c r="J270" s="1">
        <v>0</v>
      </c>
      <c r="K270" s="1" t="str">
        <f>_xlfn.XLOOKUP('August 2025'!B270,'August 2025'!B:B,'July 2025'!K:K)</f>
        <v>L-9</v>
      </c>
    </row>
    <row r="271" spans="1:11" hidden="1" x14ac:dyDescent="0.3">
      <c r="A271" s="1">
        <v>270</v>
      </c>
      <c r="B271" s="1">
        <v>10259</v>
      </c>
      <c r="C271" s="1" t="s">
        <v>575</v>
      </c>
      <c r="D271" s="1" t="s">
        <v>565</v>
      </c>
      <c r="E271" s="1" t="s">
        <v>35</v>
      </c>
      <c r="F271" s="1" t="s">
        <v>501</v>
      </c>
      <c r="G271" s="11">
        <v>12000</v>
      </c>
      <c r="H271" s="1">
        <v>6775</v>
      </c>
      <c r="I271" s="1">
        <v>0</v>
      </c>
      <c r="J271" s="1">
        <v>0</v>
      </c>
      <c r="K271" s="1" t="s">
        <v>555</v>
      </c>
    </row>
    <row r="272" spans="1:11" hidden="1" x14ac:dyDescent="0.3">
      <c r="A272" s="1">
        <v>271</v>
      </c>
      <c r="B272" s="1">
        <v>10260</v>
      </c>
      <c r="C272" s="1" t="s">
        <v>576</v>
      </c>
      <c r="D272" s="1" t="s">
        <v>565</v>
      </c>
      <c r="E272" s="1" t="s">
        <v>53</v>
      </c>
      <c r="F272" s="1" t="s">
        <v>501</v>
      </c>
      <c r="G272" s="11">
        <v>11000</v>
      </c>
      <c r="H272" s="1">
        <v>8162</v>
      </c>
      <c r="I272" s="1">
        <v>0</v>
      </c>
      <c r="J272" s="1">
        <v>0</v>
      </c>
      <c r="K272" s="1" t="s">
        <v>557</v>
      </c>
    </row>
    <row r="273" spans="1:11" hidden="1" x14ac:dyDescent="0.3">
      <c r="A273" s="1">
        <v>272</v>
      </c>
      <c r="B273" s="1">
        <v>10261</v>
      </c>
      <c r="C273" s="1" t="s">
        <v>577</v>
      </c>
      <c r="D273" s="1" t="s">
        <v>565</v>
      </c>
      <c r="E273" s="1" t="s">
        <v>53</v>
      </c>
      <c r="F273" s="1" t="s">
        <v>504</v>
      </c>
      <c r="G273" s="11">
        <v>11500</v>
      </c>
      <c r="H273" s="1">
        <v>7420</v>
      </c>
      <c r="I273" s="1">
        <v>0</v>
      </c>
      <c r="J273" s="1">
        <v>0</v>
      </c>
      <c r="K273" s="1" t="s">
        <v>557</v>
      </c>
    </row>
    <row r="274" spans="1:11" hidden="1" x14ac:dyDescent="0.3">
      <c r="A274" s="1">
        <v>273</v>
      </c>
      <c r="B274" s="1">
        <v>10262</v>
      </c>
      <c r="C274" s="1" t="s">
        <v>578</v>
      </c>
      <c r="D274" s="1" t="s">
        <v>565</v>
      </c>
      <c r="E274" s="1" t="s">
        <v>61</v>
      </c>
      <c r="F274" s="1" t="s">
        <v>501</v>
      </c>
      <c r="G274" s="11">
        <v>12500</v>
      </c>
      <c r="H274" s="1">
        <v>3025</v>
      </c>
      <c r="I274" s="1">
        <v>0</v>
      </c>
      <c r="J274" s="1">
        <v>0</v>
      </c>
      <c r="K274" s="1" t="s">
        <v>556</v>
      </c>
    </row>
    <row r="275" spans="1:11" hidden="1" x14ac:dyDescent="0.3">
      <c r="A275" s="1">
        <v>274</v>
      </c>
      <c r="B275" s="1">
        <v>10263</v>
      </c>
      <c r="C275" s="1" t="s">
        <v>579</v>
      </c>
      <c r="D275" s="1" t="s">
        <v>565</v>
      </c>
      <c r="E275" s="1" t="s">
        <v>53</v>
      </c>
      <c r="F275" s="1" t="s">
        <v>501</v>
      </c>
      <c r="G275" s="11">
        <v>12000</v>
      </c>
      <c r="H275" s="1">
        <v>6387</v>
      </c>
      <c r="I275" s="1">
        <v>0</v>
      </c>
      <c r="J275" s="1">
        <v>0</v>
      </c>
      <c r="K275" s="1" t="s">
        <v>556</v>
      </c>
    </row>
    <row r="276" spans="1:11" hidden="1" x14ac:dyDescent="0.3">
      <c r="A276" s="1">
        <v>275</v>
      </c>
      <c r="B276" s="1">
        <v>20264</v>
      </c>
      <c r="C276" s="1" t="s">
        <v>268</v>
      </c>
      <c r="D276" s="1" t="s">
        <v>565</v>
      </c>
      <c r="E276" s="1" t="s">
        <v>35</v>
      </c>
      <c r="F276" s="1" t="s">
        <v>501</v>
      </c>
      <c r="G276" s="11">
        <v>13000</v>
      </c>
      <c r="H276" s="1">
        <v>5032</v>
      </c>
      <c r="I276" s="1">
        <v>0</v>
      </c>
      <c r="J276" s="1">
        <v>0</v>
      </c>
      <c r="K276" s="1" t="s">
        <v>556</v>
      </c>
    </row>
    <row r="277" spans="1:11" hidden="1" x14ac:dyDescent="0.3">
      <c r="A277" s="1">
        <v>276</v>
      </c>
      <c r="B277" s="1">
        <v>10265</v>
      </c>
      <c r="C277" s="1" t="s">
        <v>580</v>
      </c>
      <c r="D277" s="1" t="s">
        <v>565</v>
      </c>
      <c r="E277" s="1" t="s">
        <v>53</v>
      </c>
      <c r="F277" s="1" t="s">
        <v>501</v>
      </c>
      <c r="G277" s="11">
        <v>12000</v>
      </c>
      <c r="H277" s="1">
        <v>4258</v>
      </c>
      <c r="I277" s="1">
        <v>0</v>
      </c>
      <c r="J277" s="1">
        <v>0</v>
      </c>
      <c r="K277" s="1" t="s">
        <v>557</v>
      </c>
    </row>
    <row r="278" spans="1:11" hidden="1" x14ac:dyDescent="0.3">
      <c r="A278" s="1">
        <v>277</v>
      </c>
      <c r="B278" s="1">
        <v>10266</v>
      </c>
      <c r="C278" s="1" t="s">
        <v>581</v>
      </c>
      <c r="D278" s="1" t="s">
        <v>565</v>
      </c>
      <c r="E278" s="1" t="s">
        <v>53</v>
      </c>
      <c r="F278" s="1" t="s">
        <v>501</v>
      </c>
      <c r="G278" s="11">
        <v>12000</v>
      </c>
      <c r="H278" s="1">
        <v>4645</v>
      </c>
      <c r="I278" s="1">
        <v>0</v>
      </c>
      <c r="J278" s="1">
        <v>0</v>
      </c>
      <c r="K278" s="1" t="s">
        <v>557</v>
      </c>
    </row>
    <row r="279" spans="1:11" hidden="1" x14ac:dyDescent="0.3">
      <c r="A279" s="1">
        <v>278</v>
      </c>
      <c r="B279" s="1">
        <v>10267</v>
      </c>
      <c r="C279" s="1" t="s">
        <v>582</v>
      </c>
      <c r="D279" s="1" t="s">
        <v>565</v>
      </c>
      <c r="E279" s="1" t="s">
        <v>53</v>
      </c>
      <c r="F279" s="1" t="s">
        <v>501</v>
      </c>
      <c r="G279" s="11">
        <v>11000</v>
      </c>
      <c r="H279" s="1">
        <v>2484</v>
      </c>
      <c r="I279" s="1">
        <v>0</v>
      </c>
      <c r="J279" s="1">
        <v>0</v>
      </c>
      <c r="K279" s="1" t="s">
        <v>557</v>
      </c>
    </row>
    <row r="280" spans="1:11" hidden="1" x14ac:dyDescent="0.3">
      <c r="A280" s="1">
        <v>279</v>
      </c>
      <c r="B280" s="1">
        <v>195</v>
      </c>
      <c r="C280" s="1" t="s">
        <v>583</v>
      </c>
      <c r="D280" s="1" t="s">
        <v>564</v>
      </c>
      <c r="E280" s="1" t="s">
        <v>42</v>
      </c>
      <c r="F280" s="1" t="s">
        <v>501</v>
      </c>
      <c r="G280" s="11">
        <v>53000</v>
      </c>
      <c r="H280" s="1">
        <v>53000</v>
      </c>
      <c r="I280" s="1">
        <v>0</v>
      </c>
      <c r="J280" s="1">
        <v>0</v>
      </c>
      <c r="K280" s="1" t="s">
        <v>552</v>
      </c>
    </row>
    <row r="281" spans="1:11" hidden="1" x14ac:dyDescent="0.3">
      <c r="A281" s="1">
        <v>280</v>
      </c>
      <c r="B281" s="1">
        <v>208</v>
      </c>
      <c r="C281" s="1" t="s">
        <v>584</v>
      </c>
      <c r="D281" s="1" t="s">
        <v>564</v>
      </c>
      <c r="E281" s="1" t="s">
        <v>42</v>
      </c>
      <c r="F281" s="1" t="s">
        <v>504</v>
      </c>
      <c r="G281" s="11">
        <v>40000</v>
      </c>
      <c r="H281" s="1">
        <v>27097</v>
      </c>
      <c r="I281" s="1">
        <v>1950</v>
      </c>
      <c r="J281" s="1">
        <v>0</v>
      </c>
      <c r="K281" s="1" t="s">
        <v>552</v>
      </c>
    </row>
    <row r="282" spans="1:11" hidden="1" x14ac:dyDescent="0.3">
      <c r="A282" s="1">
        <v>281</v>
      </c>
      <c r="B282" s="1">
        <v>209</v>
      </c>
      <c r="C282" s="1" t="s">
        <v>585</v>
      </c>
      <c r="D282" s="1" t="s">
        <v>564</v>
      </c>
      <c r="E282" s="1" t="s">
        <v>58</v>
      </c>
      <c r="F282" s="1" t="s">
        <v>496</v>
      </c>
      <c r="G282" s="11">
        <v>41000</v>
      </c>
      <c r="H282" s="1">
        <v>17193</v>
      </c>
      <c r="I282" s="1">
        <v>1341</v>
      </c>
      <c r="J282" s="1">
        <v>0</v>
      </c>
      <c r="K282" s="1" t="s">
        <v>553</v>
      </c>
    </row>
    <row r="283" spans="1:11" hidden="1" x14ac:dyDescent="0.3">
      <c r="A283" s="1">
        <v>282</v>
      </c>
      <c r="B283" s="1">
        <v>10268</v>
      </c>
      <c r="C283" s="1" t="s">
        <v>586</v>
      </c>
      <c r="D283" s="1" t="s">
        <v>565</v>
      </c>
      <c r="E283" s="1" t="s">
        <v>55</v>
      </c>
      <c r="F283" s="1" t="s">
        <v>504</v>
      </c>
      <c r="G283" s="11">
        <v>14500</v>
      </c>
      <c r="H283" s="1">
        <v>6548</v>
      </c>
      <c r="I283" s="1">
        <v>0</v>
      </c>
      <c r="J283" s="1">
        <v>0</v>
      </c>
      <c r="K283" s="1" t="s">
        <v>554</v>
      </c>
    </row>
    <row r="284" spans="1:11" hidden="1" x14ac:dyDescent="0.3">
      <c r="A284" s="1">
        <v>283</v>
      </c>
      <c r="B284" s="1">
        <v>210</v>
      </c>
      <c r="C284" s="1" t="s">
        <v>587</v>
      </c>
      <c r="D284" s="1" t="s">
        <v>564</v>
      </c>
      <c r="E284" s="1" t="s">
        <v>588</v>
      </c>
      <c r="F284" s="1" t="s">
        <v>499</v>
      </c>
      <c r="G284" s="11">
        <v>28200</v>
      </c>
      <c r="H284" s="1">
        <v>11825</v>
      </c>
      <c r="I284" s="1">
        <v>0</v>
      </c>
      <c r="J284" s="1">
        <v>0</v>
      </c>
      <c r="K284" s="1" t="s">
        <v>553</v>
      </c>
    </row>
    <row r="285" spans="1:11" hidden="1" x14ac:dyDescent="0.3">
      <c r="A285" s="1">
        <v>284</v>
      </c>
      <c r="B285" s="1">
        <v>196</v>
      </c>
      <c r="C285" s="1" t="s">
        <v>589</v>
      </c>
      <c r="D285" s="1" t="s">
        <v>564</v>
      </c>
      <c r="E285" s="1" t="s">
        <v>590</v>
      </c>
      <c r="F285" s="1" t="s">
        <v>499</v>
      </c>
      <c r="G285" s="11">
        <v>36500</v>
      </c>
      <c r="H285" s="1">
        <v>32968</v>
      </c>
      <c r="I285" s="1">
        <v>1950</v>
      </c>
      <c r="J285" s="1">
        <v>0</v>
      </c>
      <c r="K285" s="1" t="s">
        <v>553</v>
      </c>
    </row>
    <row r="286" spans="1:11" hidden="1" x14ac:dyDescent="0.3">
      <c r="A286" s="1">
        <v>285</v>
      </c>
      <c r="B286" s="1">
        <v>5004</v>
      </c>
      <c r="C286" s="1" t="s">
        <v>591</v>
      </c>
      <c r="D286" s="1" t="s">
        <v>564</v>
      </c>
      <c r="E286" s="1" t="s">
        <v>286</v>
      </c>
      <c r="F286" s="1" t="s">
        <v>499</v>
      </c>
      <c r="G286" s="11">
        <v>5000</v>
      </c>
      <c r="H286" s="1">
        <v>4516</v>
      </c>
      <c r="I286" s="1">
        <v>0</v>
      </c>
      <c r="J286" s="1">
        <v>147</v>
      </c>
      <c r="K286" s="1" t="s">
        <v>553</v>
      </c>
    </row>
    <row r="287" spans="1:11" hidden="1" x14ac:dyDescent="0.3">
      <c r="A287" s="1">
        <v>286</v>
      </c>
      <c r="B287" s="1">
        <v>10269</v>
      </c>
      <c r="C287" s="1" t="s">
        <v>592</v>
      </c>
      <c r="D287" s="1" t="s">
        <v>565</v>
      </c>
      <c r="E287" s="1" t="s">
        <v>35</v>
      </c>
      <c r="F287" s="1" t="s">
        <v>501</v>
      </c>
      <c r="G287" s="11">
        <v>11500</v>
      </c>
      <c r="H287" s="1">
        <v>5379</v>
      </c>
      <c r="I287" s="1">
        <v>0</v>
      </c>
      <c r="J287" s="1">
        <v>0</v>
      </c>
      <c r="K287" s="1" t="s">
        <v>556</v>
      </c>
    </row>
    <row r="288" spans="1:11" hidden="1" x14ac:dyDescent="0.3">
      <c r="A288" s="1">
        <v>287</v>
      </c>
      <c r="B288" s="1">
        <v>10270</v>
      </c>
      <c r="C288" s="1" t="s">
        <v>593</v>
      </c>
      <c r="D288" s="1" t="s">
        <v>565</v>
      </c>
      <c r="E288" s="1" t="s">
        <v>594</v>
      </c>
      <c r="F288" s="1" t="s">
        <v>501</v>
      </c>
      <c r="G288" s="11">
        <v>10500</v>
      </c>
      <c r="H288" s="1">
        <v>3725</v>
      </c>
      <c r="I288" s="1">
        <v>0</v>
      </c>
      <c r="J288" s="1">
        <v>0</v>
      </c>
      <c r="K288" s="1" t="s">
        <v>557</v>
      </c>
    </row>
    <row r="289" spans="1:11" hidden="1" x14ac:dyDescent="0.3">
      <c r="A289" s="1">
        <v>288</v>
      </c>
      <c r="B289" s="1">
        <v>10271</v>
      </c>
      <c r="C289" s="1" t="s">
        <v>309</v>
      </c>
      <c r="D289" s="1" t="s">
        <v>565</v>
      </c>
      <c r="E289" s="1" t="s">
        <v>53</v>
      </c>
      <c r="F289" s="1" t="s">
        <v>501</v>
      </c>
      <c r="G289" s="11">
        <v>11500</v>
      </c>
      <c r="H289" s="1">
        <v>3895</v>
      </c>
      <c r="I289" s="1">
        <v>0</v>
      </c>
      <c r="J289" s="1">
        <v>0</v>
      </c>
      <c r="K289" s="1" t="s">
        <v>557</v>
      </c>
    </row>
    <row r="290" spans="1:11" hidden="1" x14ac:dyDescent="0.3">
      <c r="A290" s="1">
        <v>289</v>
      </c>
      <c r="B290" s="1">
        <v>10272</v>
      </c>
      <c r="C290" s="1" t="s">
        <v>595</v>
      </c>
      <c r="D290" s="1" t="s">
        <v>565</v>
      </c>
      <c r="E290" s="1" t="s">
        <v>53</v>
      </c>
      <c r="F290" s="1" t="s">
        <v>501</v>
      </c>
      <c r="G290" s="11">
        <v>11500</v>
      </c>
      <c r="H290" s="1">
        <v>3710</v>
      </c>
      <c r="I290" s="1">
        <v>0</v>
      </c>
      <c r="J290" s="1">
        <v>0</v>
      </c>
      <c r="K290" s="1" t="s">
        <v>557</v>
      </c>
    </row>
    <row r="291" spans="1:11" hidden="1" x14ac:dyDescent="0.3">
      <c r="A291" s="1">
        <v>290</v>
      </c>
      <c r="B291" s="1">
        <v>10273</v>
      </c>
      <c r="C291" s="1" t="s">
        <v>596</v>
      </c>
      <c r="D291" s="1" t="s">
        <v>565</v>
      </c>
      <c r="E291" s="1" t="s">
        <v>53</v>
      </c>
      <c r="F291" s="1" t="s">
        <v>501</v>
      </c>
      <c r="G291" s="11">
        <v>12000</v>
      </c>
      <c r="H291" s="1">
        <v>4645</v>
      </c>
      <c r="I291" s="1">
        <v>0</v>
      </c>
      <c r="J291" s="1">
        <v>0</v>
      </c>
      <c r="K291" s="1" t="s">
        <v>557</v>
      </c>
    </row>
    <row r="292" spans="1:11" hidden="1" x14ac:dyDescent="0.3">
      <c r="A292" s="1">
        <v>291</v>
      </c>
      <c r="B292" s="1">
        <v>216</v>
      </c>
      <c r="C292" s="1" t="s">
        <v>597</v>
      </c>
      <c r="D292" s="1" t="s">
        <v>564</v>
      </c>
      <c r="E292" s="1" t="s">
        <v>67</v>
      </c>
      <c r="F292" s="1" t="s">
        <v>501</v>
      </c>
      <c r="G292" s="11">
        <v>30000</v>
      </c>
      <c r="H292" s="1">
        <v>2799</v>
      </c>
      <c r="I292" s="1">
        <v>0</v>
      </c>
      <c r="J292" s="1">
        <v>0</v>
      </c>
      <c r="K292" s="1" t="s">
        <v>555</v>
      </c>
    </row>
    <row r="293" spans="1:11" hidden="1" x14ac:dyDescent="0.3">
      <c r="A293" s="1">
        <v>292</v>
      </c>
      <c r="B293" s="1">
        <v>217</v>
      </c>
      <c r="C293" s="1" t="s">
        <v>598</v>
      </c>
      <c r="D293" s="1" t="s">
        <v>564</v>
      </c>
      <c r="E293" s="1" t="s">
        <v>67</v>
      </c>
      <c r="F293" s="1" t="s">
        <v>501</v>
      </c>
      <c r="G293" s="11">
        <v>30000</v>
      </c>
      <c r="H293" s="1">
        <v>1004</v>
      </c>
      <c r="I293" s="1">
        <v>0</v>
      </c>
      <c r="J293" s="1">
        <v>0</v>
      </c>
      <c r="K293" s="1" t="s">
        <v>555</v>
      </c>
    </row>
    <row r="294" spans="1:11" hidden="1" x14ac:dyDescent="0.3">
      <c r="A294" s="1">
        <v>293</v>
      </c>
      <c r="B294" s="1">
        <v>218</v>
      </c>
      <c r="C294" s="1" t="s">
        <v>599</v>
      </c>
      <c r="D294" s="1" t="s">
        <v>564</v>
      </c>
      <c r="E294" s="1" t="s">
        <v>67</v>
      </c>
      <c r="F294" s="1" t="s">
        <v>501</v>
      </c>
      <c r="G294" s="11">
        <v>30000</v>
      </c>
      <c r="H294" s="1">
        <v>3404</v>
      </c>
      <c r="I294" s="1">
        <v>0</v>
      </c>
      <c r="J294" s="1">
        <v>0</v>
      </c>
      <c r="K294" s="1" t="s">
        <v>555</v>
      </c>
    </row>
    <row r="295" spans="1:11" hidden="1" x14ac:dyDescent="0.3">
      <c r="A295" s="1">
        <v>294</v>
      </c>
      <c r="B295" s="1">
        <v>219</v>
      </c>
      <c r="C295" s="1" t="s">
        <v>600</v>
      </c>
      <c r="D295" s="1" t="s">
        <v>564</v>
      </c>
      <c r="E295" s="1" t="s">
        <v>67</v>
      </c>
      <c r="F295" s="1" t="s">
        <v>501</v>
      </c>
      <c r="G295" s="11">
        <v>30000</v>
      </c>
      <c r="H295" s="1">
        <v>5608</v>
      </c>
      <c r="I295" s="1">
        <v>0</v>
      </c>
      <c r="J295" s="1">
        <v>0</v>
      </c>
      <c r="K295" s="1" t="s">
        <v>555</v>
      </c>
    </row>
    <row r="296" spans="1:11" hidden="1" x14ac:dyDescent="0.3">
      <c r="A296" s="1">
        <v>295</v>
      </c>
      <c r="B296" s="1">
        <v>220</v>
      </c>
      <c r="C296" s="1" t="s">
        <v>601</v>
      </c>
      <c r="D296" s="1" t="s">
        <v>564</v>
      </c>
      <c r="E296" s="1" t="s">
        <v>67</v>
      </c>
      <c r="F296" s="1" t="s">
        <v>501</v>
      </c>
      <c r="G296" s="11">
        <v>30000</v>
      </c>
      <c r="H296" s="1">
        <v>4617</v>
      </c>
      <c r="I296" s="1">
        <v>0</v>
      </c>
      <c r="J296" s="1">
        <v>0</v>
      </c>
      <c r="K296" s="1" t="s">
        <v>555</v>
      </c>
    </row>
    <row r="297" spans="1:11" hidden="1" x14ac:dyDescent="0.3">
      <c r="A297" s="1">
        <v>296</v>
      </c>
      <c r="B297" s="1">
        <v>221</v>
      </c>
      <c r="C297" s="1" t="s">
        <v>602</v>
      </c>
      <c r="D297" s="1" t="s">
        <v>564</v>
      </c>
      <c r="E297" s="1" t="s">
        <v>67</v>
      </c>
      <c r="F297" s="1" t="s">
        <v>501</v>
      </c>
      <c r="G297" s="11">
        <v>30000</v>
      </c>
      <c r="H297" s="1">
        <v>2691</v>
      </c>
      <c r="I297" s="1">
        <v>0</v>
      </c>
      <c r="J297" s="1">
        <v>0</v>
      </c>
      <c r="K297" s="1" t="s">
        <v>555</v>
      </c>
    </row>
    <row r="298" spans="1:11" hidden="1" x14ac:dyDescent="0.3">
      <c r="A298" s="1">
        <v>297</v>
      </c>
      <c r="B298" s="1">
        <v>10274</v>
      </c>
      <c r="C298" s="1" t="s">
        <v>603</v>
      </c>
      <c r="D298" s="1" t="s">
        <v>565</v>
      </c>
      <c r="E298" s="1" t="s">
        <v>53</v>
      </c>
      <c r="F298" s="1" t="s">
        <v>501</v>
      </c>
      <c r="G298" s="11">
        <v>11000</v>
      </c>
      <c r="H298" s="1">
        <v>3903</v>
      </c>
      <c r="I298" s="1">
        <v>0</v>
      </c>
      <c r="J298" s="1">
        <v>0</v>
      </c>
      <c r="K298" s="1" t="s">
        <v>557</v>
      </c>
    </row>
  </sheetData>
  <autoFilter ref="A1:K298" xr:uid="{F49923F5-18BC-4EBE-9AC4-FA534F2C7C15}">
    <filterColumn colId="5">
      <filters>
        <filter val="Overseas"/>
      </filters>
    </filterColumn>
  </autoFilter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7ABC80-B296-4F5F-81AE-F14DD5434208}">
          <x14:formula1>
            <xm:f>'Data Validation'!$A:$A</xm:f>
          </x14:formula1>
          <xm:sqref>F2:F1048576</xm:sqref>
        </x14:dataValidation>
        <x14:dataValidation type="list" allowBlank="1" showInputMessage="1" showErrorMessage="1" xr:uid="{C86678EA-150D-46C7-A59A-F7BC01B3EFFA}">
          <x14:formula1>
            <xm:f>'Data Validation'!$K$1:$K$11</xm:f>
          </x14:formula1>
          <xm:sqref>H299:H301 K302:K1048576 K1:K298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987D5-05FC-4A5E-9ADF-960BC066BAC6}">
  <dimension ref="A1:G28"/>
  <sheetViews>
    <sheetView topLeftCell="A13" zoomScale="108" workbookViewId="0">
      <selection activeCell="D30" sqref="D30"/>
    </sheetView>
  </sheetViews>
  <sheetFormatPr defaultRowHeight="14.4" x14ac:dyDescent="0.3"/>
  <cols>
    <col min="1" max="7" width="15.6640625" customWidth="1"/>
  </cols>
  <sheetData>
    <row r="1" spans="1:7" x14ac:dyDescent="0.3">
      <c r="A1" s="2"/>
      <c r="B1" s="2" t="s">
        <v>475</v>
      </c>
      <c r="C1" s="2" t="s">
        <v>476</v>
      </c>
      <c r="D1" s="2" t="s">
        <v>477</v>
      </c>
      <c r="E1" s="2" t="s">
        <v>478</v>
      </c>
      <c r="F1" s="2" t="s">
        <v>479</v>
      </c>
      <c r="G1" s="2" t="s">
        <v>480</v>
      </c>
    </row>
    <row r="2" spans="1:7" x14ac:dyDescent="0.3">
      <c r="A2" s="1">
        <v>1</v>
      </c>
      <c r="B2" s="1" t="s">
        <v>481</v>
      </c>
      <c r="C2" s="1" t="s">
        <v>482</v>
      </c>
      <c r="D2" s="1" t="s">
        <v>483</v>
      </c>
      <c r="E2" s="1"/>
      <c r="F2" s="1">
        <v>31</v>
      </c>
      <c r="G2" s="1">
        <v>593133</v>
      </c>
    </row>
    <row r="3" spans="1:7" x14ac:dyDescent="0.3">
      <c r="A3" s="1"/>
      <c r="B3" s="1" t="s">
        <v>481</v>
      </c>
      <c r="C3" s="1" t="s">
        <v>484</v>
      </c>
      <c r="D3" s="1" t="s">
        <v>483</v>
      </c>
      <c r="E3" s="1"/>
      <c r="F3" s="1">
        <v>34</v>
      </c>
      <c r="G3" s="1">
        <v>505947</v>
      </c>
    </row>
    <row r="4" spans="1:7" x14ac:dyDescent="0.3">
      <c r="A4" s="1"/>
      <c r="B4" s="1" t="s">
        <v>481</v>
      </c>
      <c r="C4" s="1" t="s">
        <v>485</v>
      </c>
      <c r="D4" s="1" t="s">
        <v>483</v>
      </c>
      <c r="E4" s="1"/>
      <c r="F4" s="1">
        <v>37</v>
      </c>
      <c r="G4" s="1">
        <v>517648</v>
      </c>
    </row>
    <row r="5" spans="1:7" x14ac:dyDescent="0.3">
      <c r="A5" s="1">
        <v>2</v>
      </c>
      <c r="B5" s="1" t="s">
        <v>486</v>
      </c>
      <c r="C5" s="1" t="s">
        <v>482</v>
      </c>
      <c r="D5" s="1" t="s">
        <v>487</v>
      </c>
      <c r="E5" s="1"/>
      <c r="F5" s="1">
        <v>11</v>
      </c>
      <c r="G5" s="1">
        <v>360880</v>
      </c>
    </row>
    <row r="6" spans="1:7" x14ac:dyDescent="0.3">
      <c r="A6" s="1"/>
      <c r="B6" s="1" t="s">
        <v>486</v>
      </c>
      <c r="C6" s="1" t="s">
        <v>484</v>
      </c>
      <c r="D6" s="1" t="s">
        <v>487</v>
      </c>
      <c r="E6" s="1"/>
      <c r="F6" s="1">
        <v>9</v>
      </c>
      <c r="G6" s="1">
        <v>229203</v>
      </c>
    </row>
    <row r="7" spans="1:7" x14ac:dyDescent="0.3">
      <c r="A7" s="1"/>
      <c r="B7" s="1" t="s">
        <v>486</v>
      </c>
      <c r="C7" s="1" t="s">
        <v>485</v>
      </c>
      <c r="D7" s="1" t="s">
        <v>487</v>
      </c>
      <c r="E7" s="1"/>
      <c r="F7" s="1">
        <v>6</v>
      </c>
      <c r="G7" s="1">
        <v>193406</v>
      </c>
    </row>
    <row r="8" spans="1:7" x14ac:dyDescent="0.3">
      <c r="A8" s="1"/>
      <c r="B8" s="1" t="s">
        <v>486</v>
      </c>
      <c r="C8" s="1" t="s">
        <v>488</v>
      </c>
      <c r="D8" s="1" t="s">
        <v>487</v>
      </c>
      <c r="E8" s="1"/>
      <c r="F8" s="1">
        <v>5</v>
      </c>
      <c r="G8" s="1">
        <v>225740</v>
      </c>
    </row>
    <row r="9" spans="1:7" x14ac:dyDescent="0.3">
      <c r="A9" s="1"/>
      <c r="B9" s="1" t="s">
        <v>486</v>
      </c>
      <c r="C9" s="1" t="s">
        <v>489</v>
      </c>
      <c r="D9" s="1" t="s">
        <v>487</v>
      </c>
      <c r="E9" s="1"/>
      <c r="F9" s="1">
        <v>5</v>
      </c>
      <c r="G9" s="1">
        <v>204256</v>
      </c>
    </row>
    <row r="10" spans="1:7" x14ac:dyDescent="0.3">
      <c r="A10" s="1"/>
      <c r="B10" s="1" t="s">
        <v>486</v>
      </c>
      <c r="C10" s="1" t="s">
        <v>490</v>
      </c>
      <c r="D10" s="1" t="s">
        <v>487</v>
      </c>
      <c r="E10" s="1"/>
      <c r="F10" s="1">
        <v>6</v>
      </c>
      <c r="G10" s="1">
        <v>177949</v>
      </c>
    </row>
    <row r="11" spans="1:7" x14ac:dyDescent="0.3">
      <c r="A11" s="1"/>
      <c r="B11" s="1" t="s">
        <v>486</v>
      </c>
      <c r="C11" s="1" t="s">
        <v>491</v>
      </c>
      <c r="D11" s="1" t="s">
        <v>487</v>
      </c>
      <c r="E11" s="1"/>
      <c r="F11" s="1">
        <v>10</v>
      </c>
      <c r="G11" s="1">
        <v>269680</v>
      </c>
    </row>
    <row r="12" spans="1:7" x14ac:dyDescent="0.3">
      <c r="A12" s="1"/>
      <c r="B12" s="1" t="s">
        <v>486</v>
      </c>
      <c r="C12" s="1" t="s">
        <v>604</v>
      </c>
      <c r="D12" s="1" t="s">
        <v>487</v>
      </c>
      <c r="E12" s="1"/>
      <c r="F12" s="1">
        <v>11</v>
      </c>
      <c r="G12" s="1">
        <v>250054</v>
      </c>
    </row>
    <row r="13" spans="1:7" x14ac:dyDescent="0.3">
      <c r="A13" s="1">
        <v>3</v>
      </c>
      <c r="B13" s="1" t="s">
        <v>492</v>
      </c>
      <c r="C13" s="1" t="s">
        <v>482</v>
      </c>
      <c r="D13" s="1" t="s">
        <v>493</v>
      </c>
      <c r="E13" s="1"/>
      <c r="F13" s="1">
        <v>10</v>
      </c>
      <c r="G13" s="1">
        <v>222702</v>
      </c>
    </row>
    <row r="14" spans="1:7" x14ac:dyDescent="0.3">
      <c r="A14" s="1"/>
      <c r="B14" s="1" t="s">
        <v>492</v>
      </c>
      <c r="C14" s="1" t="s">
        <v>484</v>
      </c>
      <c r="D14" s="1" t="s">
        <v>493</v>
      </c>
      <c r="E14" s="1"/>
      <c r="F14" s="1">
        <v>10</v>
      </c>
      <c r="G14" s="1">
        <v>175807</v>
      </c>
    </row>
    <row r="15" spans="1:7" x14ac:dyDescent="0.3">
      <c r="A15" s="1"/>
      <c r="B15" s="1" t="s">
        <v>492</v>
      </c>
      <c r="C15" s="1" t="s">
        <v>485</v>
      </c>
      <c r="D15" s="1" t="s">
        <v>493</v>
      </c>
      <c r="E15" s="1"/>
      <c r="F15" s="1">
        <v>10</v>
      </c>
      <c r="G15" s="1">
        <v>138148</v>
      </c>
    </row>
    <row r="16" spans="1:7" x14ac:dyDescent="0.3">
      <c r="A16" s="1"/>
      <c r="B16" s="1" t="s">
        <v>492</v>
      </c>
      <c r="C16" s="1" t="s">
        <v>488</v>
      </c>
      <c r="D16" s="1" t="s">
        <v>493</v>
      </c>
      <c r="E16" s="1"/>
      <c r="F16" s="1">
        <v>5</v>
      </c>
      <c r="G16" s="1">
        <v>193944</v>
      </c>
    </row>
    <row r="17" spans="1:7" x14ac:dyDescent="0.3">
      <c r="A17" s="1"/>
      <c r="B17" s="1" t="s">
        <v>492</v>
      </c>
      <c r="C17" s="1" t="s">
        <v>489</v>
      </c>
      <c r="D17" s="1" t="s">
        <v>493</v>
      </c>
      <c r="E17" s="1"/>
      <c r="F17" s="1">
        <v>7</v>
      </c>
      <c r="G17" s="1">
        <v>164357</v>
      </c>
    </row>
    <row r="18" spans="1:7" x14ac:dyDescent="0.3">
      <c r="A18" s="1"/>
      <c r="B18" s="1" t="s">
        <v>492</v>
      </c>
      <c r="C18" s="1" t="s">
        <v>490</v>
      </c>
      <c r="D18" s="1" t="s">
        <v>493</v>
      </c>
      <c r="E18" s="1"/>
      <c r="F18" s="1">
        <v>6</v>
      </c>
      <c r="G18" s="1">
        <v>176365</v>
      </c>
    </row>
    <row r="19" spans="1:7" x14ac:dyDescent="0.3">
      <c r="A19" s="1"/>
      <c r="B19" s="1" t="s">
        <v>492</v>
      </c>
      <c r="C19" s="1" t="s">
        <v>491</v>
      </c>
      <c r="D19" s="1" t="s">
        <v>493</v>
      </c>
      <c r="E19" s="1"/>
      <c r="F19" s="1">
        <v>9</v>
      </c>
      <c r="G19" s="1">
        <v>225552</v>
      </c>
    </row>
    <row r="20" spans="1:7" x14ac:dyDescent="0.3">
      <c r="A20" s="1"/>
      <c r="B20" s="1" t="s">
        <v>492</v>
      </c>
      <c r="C20" s="1" t="s">
        <v>604</v>
      </c>
      <c r="D20" s="1" t="s">
        <v>493</v>
      </c>
      <c r="E20" s="1"/>
      <c r="F20" s="1">
        <v>10</v>
      </c>
      <c r="G20" s="1">
        <v>207011</v>
      </c>
    </row>
    <row r="21" spans="1:7" x14ac:dyDescent="0.3">
      <c r="A21" s="1">
        <v>4</v>
      </c>
      <c r="B21" s="1" t="s">
        <v>494</v>
      </c>
      <c r="C21" s="1" t="s">
        <v>482</v>
      </c>
      <c r="D21" s="1" t="s">
        <v>495</v>
      </c>
      <c r="E21" s="1"/>
      <c r="F21" s="1">
        <v>0</v>
      </c>
      <c r="G21" s="1">
        <v>0</v>
      </c>
    </row>
    <row r="22" spans="1:7" x14ac:dyDescent="0.3">
      <c r="A22" s="1"/>
      <c r="B22" s="1" t="s">
        <v>494</v>
      </c>
      <c r="C22" s="1" t="s">
        <v>484</v>
      </c>
      <c r="D22" s="1" t="s">
        <v>495</v>
      </c>
      <c r="E22" s="1"/>
      <c r="F22" s="1">
        <v>6</v>
      </c>
      <c r="G22" s="1">
        <v>33769</v>
      </c>
    </row>
    <row r="23" spans="1:7" x14ac:dyDescent="0.3">
      <c r="A23" s="1"/>
      <c r="B23" s="1" t="s">
        <v>494</v>
      </c>
      <c r="C23" s="1" t="s">
        <v>485</v>
      </c>
      <c r="D23" s="1" t="s">
        <v>495</v>
      </c>
      <c r="E23" s="1"/>
      <c r="F23" s="1">
        <v>7</v>
      </c>
      <c r="G23" s="1">
        <v>58667</v>
      </c>
    </row>
    <row r="24" spans="1:7" x14ac:dyDescent="0.3">
      <c r="A24" s="1"/>
      <c r="B24" s="1" t="s">
        <v>494</v>
      </c>
      <c r="C24" s="1" t="s">
        <v>488</v>
      </c>
      <c r="D24" s="1" t="s">
        <v>495</v>
      </c>
      <c r="E24" s="1"/>
      <c r="F24" s="1">
        <v>5</v>
      </c>
      <c r="G24" s="1">
        <v>101889</v>
      </c>
    </row>
    <row r="25" spans="1:7" x14ac:dyDescent="0.3">
      <c r="A25" s="1"/>
      <c r="B25" s="1" t="s">
        <v>494</v>
      </c>
      <c r="C25" s="1" t="s">
        <v>489</v>
      </c>
      <c r="D25" s="1" t="s">
        <v>495</v>
      </c>
      <c r="E25" s="1"/>
      <c r="F25" s="1">
        <v>5</v>
      </c>
      <c r="G25" s="1">
        <v>109448</v>
      </c>
    </row>
    <row r="26" spans="1:7" x14ac:dyDescent="0.3">
      <c r="A26" s="1"/>
      <c r="B26" s="1" t="s">
        <v>494</v>
      </c>
      <c r="C26" s="1" t="s">
        <v>490</v>
      </c>
      <c r="D26" s="1" t="s">
        <v>495</v>
      </c>
      <c r="E26" s="1"/>
      <c r="F26" s="1">
        <v>9</v>
      </c>
      <c r="G26" s="1">
        <v>133467</v>
      </c>
    </row>
    <row r="27" spans="1:7" x14ac:dyDescent="0.3">
      <c r="A27" s="1"/>
      <c r="B27" s="1" t="s">
        <v>494</v>
      </c>
      <c r="C27" s="1" t="s">
        <v>491</v>
      </c>
      <c r="D27" s="1" t="s">
        <v>495</v>
      </c>
      <c r="E27" s="1"/>
      <c r="F27" s="1">
        <v>11</v>
      </c>
      <c r="G27" s="1">
        <v>149071</v>
      </c>
    </row>
    <row r="28" spans="1:7" x14ac:dyDescent="0.3">
      <c r="A28" s="1"/>
      <c r="B28" s="1" t="s">
        <v>494</v>
      </c>
      <c r="C28" s="1" t="s">
        <v>604</v>
      </c>
      <c r="D28" s="1" t="s">
        <v>495</v>
      </c>
      <c r="E28" s="1"/>
      <c r="F28" s="1">
        <v>11</v>
      </c>
      <c r="G28" s="1">
        <v>180181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6DEC5-5540-4003-B889-925A86BCEFA5}">
  <dimension ref="A1:K31"/>
  <sheetViews>
    <sheetView workbookViewId="0">
      <selection activeCell="N16" sqref="N16"/>
    </sheetView>
  </sheetViews>
  <sheetFormatPr defaultRowHeight="14.4" x14ac:dyDescent="0.3"/>
  <sheetData>
    <row r="1" spans="1:11" x14ac:dyDescent="0.3">
      <c r="A1" t="s">
        <v>3</v>
      </c>
      <c r="D1" t="s">
        <v>497</v>
      </c>
      <c r="G1" t="s">
        <v>498</v>
      </c>
      <c r="K1" t="s">
        <v>559</v>
      </c>
    </row>
    <row r="2" spans="1:11" x14ac:dyDescent="0.3">
      <c r="A2" t="s">
        <v>499</v>
      </c>
      <c r="D2" t="s">
        <v>200</v>
      </c>
      <c r="G2" s="1" t="s">
        <v>500</v>
      </c>
      <c r="K2" t="s">
        <v>548</v>
      </c>
    </row>
    <row r="3" spans="1:11" x14ac:dyDescent="0.3">
      <c r="A3" t="s">
        <v>501</v>
      </c>
      <c r="D3" t="s">
        <v>502</v>
      </c>
      <c r="G3" s="1" t="s">
        <v>503</v>
      </c>
      <c r="K3" t="s">
        <v>549</v>
      </c>
    </row>
    <row r="4" spans="1:11" x14ac:dyDescent="0.3">
      <c r="A4" t="s">
        <v>504</v>
      </c>
      <c r="D4" t="s">
        <v>501</v>
      </c>
      <c r="G4" s="1" t="s">
        <v>505</v>
      </c>
      <c r="K4" t="s">
        <v>550</v>
      </c>
    </row>
    <row r="5" spans="1:11" x14ac:dyDescent="0.3">
      <c r="A5" t="s">
        <v>506</v>
      </c>
      <c r="D5" t="s">
        <v>507</v>
      </c>
      <c r="G5" s="1" t="s">
        <v>508</v>
      </c>
      <c r="K5" t="s">
        <v>551</v>
      </c>
    </row>
    <row r="6" spans="1:11" x14ac:dyDescent="0.3">
      <c r="A6" t="s">
        <v>496</v>
      </c>
      <c r="D6" t="s">
        <v>509</v>
      </c>
      <c r="G6" s="1" t="s">
        <v>510</v>
      </c>
      <c r="K6" t="s">
        <v>552</v>
      </c>
    </row>
    <row r="7" spans="1:11" x14ac:dyDescent="0.3">
      <c r="A7" t="s">
        <v>547</v>
      </c>
      <c r="D7" t="s">
        <v>511</v>
      </c>
      <c r="G7" s="1" t="s">
        <v>512</v>
      </c>
      <c r="K7" t="s">
        <v>553</v>
      </c>
    </row>
    <row r="8" spans="1:11" x14ac:dyDescent="0.3">
      <c r="D8" t="s">
        <v>513</v>
      </c>
      <c r="G8" s="1" t="s">
        <v>514</v>
      </c>
      <c r="K8" t="s">
        <v>554</v>
      </c>
    </row>
    <row r="9" spans="1:11" x14ac:dyDescent="0.3">
      <c r="D9" t="s">
        <v>515</v>
      </c>
      <c r="G9" s="1" t="s">
        <v>516</v>
      </c>
      <c r="K9" t="s">
        <v>555</v>
      </c>
    </row>
    <row r="10" spans="1:11" x14ac:dyDescent="0.3">
      <c r="D10" t="s">
        <v>517</v>
      </c>
      <c r="G10" s="1" t="s">
        <v>53</v>
      </c>
      <c r="K10" t="s">
        <v>556</v>
      </c>
    </row>
    <row r="11" spans="1:11" x14ac:dyDescent="0.3">
      <c r="D11" t="s">
        <v>518</v>
      </c>
      <c r="G11" s="1" t="s">
        <v>519</v>
      </c>
      <c r="K11" t="s">
        <v>557</v>
      </c>
    </row>
    <row r="12" spans="1:11" x14ac:dyDescent="0.3">
      <c r="D12" t="s">
        <v>520</v>
      </c>
      <c r="G12" s="1" t="s">
        <v>521</v>
      </c>
    </row>
    <row r="13" spans="1:11" x14ac:dyDescent="0.3">
      <c r="D13" t="s">
        <v>522</v>
      </c>
      <c r="G13" s="1" t="s">
        <v>523</v>
      </c>
    </row>
    <row r="14" spans="1:11" x14ac:dyDescent="0.3">
      <c r="D14" t="s">
        <v>524</v>
      </c>
      <c r="G14" s="1" t="s">
        <v>525</v>
      </c>
    </row>
    <row r="15" spans="1:11" x14ac:dyDescent="0.3">
      <c r="D15" t="s">
        <v>493</v>
      </c>
      <c r="G15" s="1" t="s">
        <v>526</v>
      </c>
    </row>
    <row r="16" spans="1:11" x14ac:dyDescent="0.3">
      <c r="D16" t="s">
        <v>527</v>
      </c>
      <c r="G16" s="1" t="s">
        <v>528</v>
      </c>
    </row>
    <row r="17" spans="4:7" x14ac:dyDescent="0.3">
      <c r="D17" t="s">
        <v>33</v>
      </c>
      <c r="G17" s="1" t="s">
        <v>529</v>
      </c>
    </row>
    <row r="18" spans="4:7" x14ac:dyDescent="0.3">
      <c r="D18" t="s">
        <v>530</v>
      </c>
      <c r="G18" s="1" t="s">
        <v>531</v>
      </c>
    </row>
    <row r="19" spans="4:7" x14ac:dyDescent="0.3">
      <c r="D19" t="s">
        <v>55</v>
      </c>
      <c r="G19" s="1" t="s">
        <v>532</v>
      </c>
    </row>
    <row r="20" spans="4:7" x14ac:dyDescent="0.3">
      <c r="D20" t="s">
        <v>533</v>
      </c>
      <c r="G20" s="1" t="s">
        <v>534</v>
      </c>
    </row>
    <row r="21" spans="4:7" x14ac:dyDescent="0.3">
      <c r="D21" t="s">
        <v>53</v>
      </c>
      <c r="G21" s="1" t="s">
        <v>535</v>
      </c>
    </row>
    <row r="22" spans="4:7" x14ac:dyDescent="0.3">
      <c r="D22" t="s">
        <v>10</v>
      </c>
      <c r="G22" s="1" t="s">
        <v>536</v>
      </c>
    </row>
    <row r="23" spans="4:7" x14ac:dyDescent="0.3">
      <c r="D23" t="s">
        <v>537</v>
      </c>
      <c r="G23" s="1" t="s">
        <v>538</v>
      </c>
    </row>
    <row r="24" spans="4:7" x14ac:dyDescent="0.3">
      <c r="D24" t="s">
        <v>252</v>
      </c>
      <c r="G24" s="1" t="s">
        <v>539</v>
      </c>
    </row>
    <row r="25" spans="4:7" x14ac:dyDescent="0.3">
      <c r="D25" t="s">
        <v>540</v>
      </c>
      <c r="G25" s="1" t="s">
        <v>541</v>
      </c>
    </row>
    <row r="26" spans="4:7" x14ac:dyDescent="0.3">
      <c r="D26" t="s">
        <v>58</v>
      </c>
    </row>
    <row r="27" spans="4:7" x14ac:dyDescent="0.3">
      <c r="D27" t="s">
        <v>542</v>
      </c>
    </row>
    <row r="28" spans="4:7" x14ac:dyDescent="0.3">
      <c r="D28" t="s">
        <v>543</v>
      </c>
    </row>
    <row r="29" spans="4:7" x14ac:dyDescent="0.3">
      <c r="D29" t="s">
        <v>544</v>
      </c>
    </row>
    <row r="30" spans="4:7" x14ac:dyDescent="0.3">
      <c r="D30" t="s">
        <v>545</v>
      </c>
    </row>
    <row r="31" spans="4:7" x14ac:dyDescent="0.3">
      <c r="D31" t="s">
        <v>546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C3CBF0120F9447B2A626EE83F98082" ma:contentTypeVersion="0" ma:contentTypeDescription="Create a new document." ma:contentTypeScope="" ma:versionID="943eea76ff4d8e06a58e2d86a0cc9ae9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1d5eec3c12ee2e8127422d567928f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117158-B0E5-40AF-9551-5470464EA1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52E549-5B19-4212-93D5-059AE3A0125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C557D89-C786-4410-A21A-1C707E34D1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January 2025</vt:lpstr>
      <vt:lpstr>February 2025</vt:lpstr>
      <vt:lpstr>March 2025</vt:lpstr>
      <vt:lpstr>April 2025</vt:lpstr>
      <vt:lpstr>May 2025</vt:lpstr>
      <vt:lpstr>June 2025</vt:lpstr>
      <vt:lpstr>July 2025</vt:lpstr>
      <vt:lpstr>August 2025</vt:lpstr>
      <vt:lpstr>Contractor</vt:lpstr>
      <vt:lpstr>Data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 Support</dc:creator>
  <cp:lastModifiedBy>MIS Support</cp:lastModifiedBy>
  <dcterms:created xsi:type="dcterms:W3CDTF">2025-08-18T09:21:42Z</dcterms:created>
  <dcterms:modified xsi:type="dcterms:W3CDTF">2025-09-08T07:32:56Z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0x0101008DC3CBF0120F9447B2A626EE83F98082</vt:lpwstr>
  </property>
</Properties>
</file>